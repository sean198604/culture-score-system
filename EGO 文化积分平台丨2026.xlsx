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charts/style1.xml" ContentType="application/vnd.ms-office.chartstyle+xml"/>
  <Override PartName="/docProps/core.xml" ContentType="application/vnd.openxmlformats-package.core-properties+xml"/>
  <Override PartName="/xl/charts/colors1.xml" ContentType="application/vnd.ms-office.chartcolorstyl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☆1 团队积分榜2026" sheetId="1" r:id="rId3"/>
    <sheet name="1附 团队积分记录2026" sheetId="2" r:id="rId4"/>
    <sheet name="☆2 员工积分榜2026" sheetId="3" r:id="rId5"/>
    <sheet name="2附 员工积分记录2026" sheetId="4" r:id="rId6"/>
  </sheets>
  <calcPr/>
</workbook>
</file>

<file path=xl/sharedStrings.xml><?xml version="1.0" encoding="utf-8"?>
<sst xmlns="http://schemas.openxmlformats.org/spreadsheetml/2006/main" count="241" uniqueCount="241">
  <si>
    <t/>
  </si>
  <si>
    <t>2026年度 团队文化积分记录</t>
  </si>
  <si>
    <t>积分日期</t>
  </si>
  <si>
    <t>部   门</t>
  </si>
  <si>
    <t>积   分</t>
  </si>
  <si>
    <t>积分渠道</t>
  </si>
  <si>
    <t>事   件（说明）</t>
  </si>
  <si>
    <t>登记</t>
  </si>
  <si>
    <t>户外事业部</t>
  </si>
  <si>
    <t>管培生轮岗</t>
  </si>
  <si>
    <t>部门安排导师：池冉、林蓓蓓</t>
  </si>
  <si>
    <t>戴晶晶</t>
  </si>
  <si>
    <t>业务管理部</t>
  </si>
  <si>
    <t>部门安排导师：张健、汤向宇</t>
  </si>
  <si>
    <t>财务管理部</t>
  </si>
  <si>
    <t>部门安排导师：林碧芳</t>
  </si>
  <si>
    <t>2026.02.13</t>
  </si>
  <si>
    <t>越南办事处</t>
  </si>
  <si>
    <t>文化调研</t>
  </si>
  <si>
    <t>EGO文化活动调研部门完成100%</t>
  </si>
  <si>
    <t>史金鑫</t>
  </si>
  <si>
    <t>日用百货二组</t>
  </si>
  <si>
    <t>日用百货三组</t>
  </si>
  <si>
    <t>EGO文化活动调研部门完成率100%</t>
  </si>
  <si>
    <t>人力资源部</t>
  </si>
  <si>
    <t>电商事业部</t>
  </si>
  <si>
    <t>EGO文化活动调研部门完成率95.45%</t>
  </si>
  <si>
    <t>2026.02.09</t>
  </si>
  <si>
    <t>2026新春年会</t>
  </si>
  <si>
    <t>刘杰歌曲节目</t>
  </si>
  <si>
    <t>节日事业部</t>
  </si>
  <si>
    <t>新春视频 创意</t>
  </si>
  <si>
    <t>移动光源部</t>
  </si>
  <si>
    <t>日本事业部</t>
  </si>
  <si>
    <t>新春视频 普通</t>
  </si>
  <si>
    <t>行政管理部</t>
  </si>
  <si>
    <t>日用百货一组</t>
  </si>
  <si>
    <t>视觉设计部</t>
  </si>
  <si>
    <t>上海事业部</t>
  </si>
  <si>
    <t>日用百货部三组</t>
  </si>
  <si>
    <t>部门安排导师：袁灵芳</t>
  </si>
  <si>
    <t>姓   名</t>
  </si>
  <si>
    <t>积分排名</t>
  </si>
  <si>
    <t>年度积分</t>
  </si>
  <si>
    <t>管培生</t>
  </si>
  <si>
    <t>李玮桐</t>
  </si>
  <si>
    <t>陈超女</t>
  </si>
  <si>
    <t>张凤</t>
  </si>
  <si>
    <t>袁灵芳</t>
  </si>
  <si>
    <t>林蓓蓓</t>
  </si>
  <si>
    <t>王星怡</t>
  </si>
  <si>
    <t xml:space="preserve">  </t>
  </si>
  <si>
    <t>汤向宇</t>
  </si>
  <si>
    <t>李强</t>
  </si>
  <si>
    <t>吴彦慷</t>
  </si>
  <si>
    <t>朱王李</t>
  </si>
  <si>
    <t>林珊珊</t>
  </si>
  <si>
    <t>林碧芳</t>
  </si>
  <si>
    <t>刘杰</t>
  </si>
  <si>
    <t>柳璐妍</t>
  </si>
  <si>
    <t>杨亚鹏</t>
  </si>
  <si>
    <t>沈璐</t>
  </si>
  <si>
    <t>童璐</t>
  </si>
  <si>
    <t>喻君英</t>
  </si>
  <si>
    <t>日本事业部二部</t>
  </si>
  <si>
    <t>陈曦</t>
  </si>
  <si>
    <t>宋紫煜</t>
  </si>
  <si>
    <t>日本事业部一部</t>
  </si>
  <si>
    <t>王蕊</t>
  </si>
  <si>
    <t xml:space="preserve"> 张健</t>
  </si>
  <si>
    <t>张效瑜</t>
  </si>
  <si>
    <t>王璐瑶</t>
  </si>
  <si>
    <t>蔡景涛</t>
  </si>
  <si>
    <t>周雯雯</t>
  </si>
  <si>
    <t>日本事业部（一部）</t>
  </si>
  <si>
    <t>张宗伟</t>
  </si>
  <si>
    <t>任方宁</t>
  </si>
  <si>
    <t>曹海波</t>
  </si>
  <si>
    <t>陈虹</t>
  </si>
  <si>
    <t>杨东</t>
  </si>
  <si>
    <t>周碧林</t>
  </si>
  <si>
    <t>韦万秋</t>
  </si>
  <si>
    <t>郑丽</t>
  </si>
  <si>
    <t>庄世校</t>
  </si>
  <si>
    <t>贝星杰</t>
  </si>
  <si>
    <t>杨燕</t>
  </si>
  <si>
    <t>陈论</t>
  </si>
  <si>
    <t>黄云</t>
  </si>
  <si>
    <t>叶翼</t>
  </si>
  <si>
    <t>潘静君</t>
  </si>
  <si>
    <t>叶丹君</t>
  </si>
  <si>
    <t>舒颍</t>
  </si>
  <si>
    <t>戚柏松</t>
  </si>
  <si>
    <t>龚若曦</t>
  </si>
  <si>
    <t>余艺</t>
  </si>
  <si>
    <t>余赛赛</t>
  </si>
  <si>
    <t>马蕊</t>
  </si>
  <si>
    <t>邓晏宏</t>
  </si>
  <si>
    <t>向田玉</t>
  </si>
  <si>
    <t>财务部</t>
  </si>
  <si>
    <t>谢旻腾</t>
  </si>
  <si>
    <t>徐安</t>
  </si>
  <si>
    <t>吴佳丹</t>
  </si>
  <si>
    <t>王敏芬</t>
  </si>
  <si>
    <t>单证部</t>
  </si>
  <si>
    <t>蔡梦叶</t>
  </si>
  <si>
    <t>陆茵茵</t>
  </si>
  <si>
    <t>柴静</t>
  </si>
  <si>
    <t>李洋</t>
  </si>
  <si>
    <t>沈耀旭</t>
  </si>
  <si>
    <t>杨佳璐</t>
  </si>
  <si>
    <t>杨志伟</t>
  </si>
  <si>
    <t>戴颖欣</t>
  </si>
  <si>
    <t>杨儿波</t>
  </si>
  <si>
    <t>留春梅</t>
  </si>
  <si>
    <t>陈优燕</t>
  </si>
  <si>
    <t>钱偲偲</t>
  </si>
  <si>
    <t>日用百货部一组</t>
  </si>
  <si>
    <t>林彦蓉</t>
  </si>
  <si>
    <t>吴丽丽</t>
  </si>
  <si>
    <t>朱英</t>
  </si>
  <si>
    <t>周芮</t>
  </si>
  <si>
    <t>周辛莹</t>
  </si>
  <si>
    <t>陆维宁</t>
  </si>
  <si>
    <t>吴雅丽</t>
  </si>
  <si>
    <t>刘庆华</t>
  </si>
  <si>
    <t>何秀琼</t>
  </si>
  <si>
    <t>张浙鸿</t>
  </si>
  <si>
    <t>郑稍丹</t>
  </si>
  <si>
    <t>郝淑慧</t>
  </si>
  <si>
    <t>章园园</t>
  </si>
  <si>
    <t>上海分公司</t>
  </si>
  <si>
    <t>顾燕侠</t>
  </si>
  <si>
    <t>日用百货部二组</t>
  </si>
  <si>
    <t>秦志颖</t>
  </si>
  <si>
    <t>李滢</t>
  </si>
  <si>
    <t>王昕雯</t>
  </si>
  <si>
    <t>杨乐</t>
  </si>
  <si>
    <t>王妍</t>
  </si>
  <si>
    <t>唐桂定</t>
  </si>
  <si>
    <t>刘芳</t>
  </si>
  <si>
    <t>李正彬</t>
  </si>
  <si>
    <t>李佳群</t>
  </si>
  <si>
    <t>何江炜</t>
  </si>
  <si>
    <t xml:space="preserve"> 郑敏霞 </t>
  </si>
  <si>
    <t>董孜静</t>
  </si>
  <si>
    <t>郭爽</t>
  </si>
  <si>
    <t>章备</t>
  </si>
  <si>
    <t>何倩倩</t>
  </si>
  <si>
    <t>刘亦凡</t>
  </si>
  <si>
    <t>叶宇清</t>
  </si>
  <si>
    <t>孙一帆</t>
  </si>
  <si>
    <t>郑玫</t>
  </si>
  <si>
    <t>周倩茹</t>
  </si>
  <si>
    <t>陈欣</t>
  </si>
  <si>
    <t>程琳然</t>
  </si>
  <si>
    <t>李春蓂</t>
  </si>
  <si>
    <t>吴帅川</t>
  </si>
  <si>
    <t>王燕琼</t>
  </si>
  <si>
    <t>邱彤</t>
  </si>
  <si>
    <t>干柠溢</t>
  </si>
  <si>
    <t>江航</t>
  </si>
  <si>
    <t>徐宁</t>
  </si>
  <si>
    <t>秦依栋</t>
  </si>
  <si>
    <t>李黎</t>
  </si>
  <si>
    <t>薛梅</t>
  </si>
  <si>
    <t>王烨</t>
  </si>
  <si>
    <t>徐珊</t>
  </si>
  <si>
    <t>宋琴</t>
  </si>
  <si>
    <t>潘静</t>
  </si>
  <si>
    <t>常波</t>
  </si>
  <si>
    <t>赵鹏泽</t>
  </si>
  <si>
    <t>谢佳琪</t>
  </si>
  <si>
    <t>林乃怡</t>
  </si>
  <si>
    <t>姜鑫鑫</t>
  </si>
  <si>
    <t>MIKA</t>
  </si>
  <si>
    <t>王洁琼</t>
  </si>
  <si>
    <t>朱清</t>
  </si>
  <si>
    <t>朱一超</t>
  </si>
  <si>
    <t>李丹丹</t>
  </si>
  <si>
    <t>蓝心梅</t>
  </si>
  <si>
    <t>俞万挺</t>
  </si>
  <si>
    <t>杨振卿</t>
  </si>
  <si>
    <t>尤少男</t>
  </si>
  <si>
    <t>王静松</t>
  </si>
  <si>
    <t>龚思思</t>
  </si>
  <si>
    <t>陈友伟</t>
  </si>
  <si>
    <t>陈苗苗</t>
  </si>
  <si>
    <t>阮亦峰</t>
  </si>
  <si>
    <t>2026年度 员工文化积分记录</t>
  </si>
  <si>
    <t>-</t>
  </si>
  <si>
    <t>参训人员</t>
  </si>
  <si>
    <t>众瀚讲堂</t>
  </si>
  <si>
    <t>张健</t>
  </si>
  <si>
    <t>导师带教</t>
  </si>
  <si>
    <t>2026.3.17-2026.3.20</t>
  </si>
  <si>
    <t>2026.3.23-2026.3.27</t>
  </si>
  <si>
    <t>2026.3.1-2026.3.31</t>
  </si>
  <si>
    <t>池冉</t>
  </si>
  <si>
    <t>三八文化活动</t>
  </si>
  <si>
    <t>照片配文投稿</t>
  </si>
  <si>
    <t>照片投稿</t>
  </si>
  <si>
    <t>内部期刊</t>
  </si>
  <si>
    <t>新人分享提交+心得</t>
  </si>
  <si>
    <t>新人分享提交</t>
  </si>
  <si>
    <t>编辑</t>
  </si>
  <si>
    <t>文化有你采访</t>
  </si>
  <si>
    <t>征文投稿</t>
  </si>
  <si>
    <t>2026新声许愿池</t>
  </si>
  <si>
    <t>徐珍</t>
  </si>
  <si>
    <t>管培生带教：2026.2.1-2026.2.28</t>
  </si>
  <si>
    <t>2026文化市集</t>
  </si>
  <si>
    <t>2026文化市集摊主</t>
  </si>
  <si>
    <t>2026文化市集管理台</t>
  </si>
  <si>
    <t>2026文化市集摄影</t>
  </si>
  <si>
    <t>2026文化市集财神</t>
  </si>
  <si>
    <t>2026新春年会 执行</t>
  </si>
  <si>
    <t>2026新春年会 财神</t>
  </si>
  <si>
    <t>2026新春年会 摄影</t>
  </si>
  <si>
    <t>2026新春年会 礼仪</t>
  </si>
  <si>
    <t>2026新春年会 演唱</t>
  </si>
  <si>
    <t>2029新春年会 主持</t>
  </si>
  <si>
    <t>管培生带教：2026.1.1-2026.1.31</t>
  </si>
  <si>
    <t>2026年度  团队文化积分榜</t>
  </si>
  <si>
    <t>部门</t>
  </si>
  <si>
    <t>越南办</t>
  </si>
  <si>
    <t>惠州分公司</t>
  </si>
  <si>
    <t>排名</t>
  </si>
  <si>
    <t>积分</t>
  </si>
  <si>
    <r>
      <rPr>
        <rFont val="Microsoft YaHei"/>
        <b val="true"/>
        <i val="false"/>
        <strike val="false"/>
        <color rgb="FFFFC000"/>
        <sz val="22"/>
        <u val="none"/>
      </rPr>
      <t>2026年度</t>
    </r>
    <r>
      <rPr>
        <rFont val="Microsoft YaHei"/>
        <b val="true"/>
        <i val="false"/>
        <strike val="false"/>
        <color rgb="FFFFC000"/>
        <sz val="22"/>
        <u val="none"/>
      </rPr>
      <t xml:space="preserve">
员工文化积分榜</t>
    </r>
  </si>
  <si>
    <r>
      <rPr>
        <rFont val="微软雅黑"/>
        <b val="false"/>
        <i val="false"/>
        <strike val="false"/>
        <color rgb="FF000000"/>
        <sz val="10"/>
        <u val="none"/>
      </rPr>
      <t>池冉</t>
    </r>
  </si>
  <si>
    <r>
      <rPr>
        <rFont val="微软雅黑"/>
        <b val="false"/>
        <i val="false"/>
        <strike val="false"/>
        <color rgb="FF000000"/>
        <sz val="10"/>
        <u val="none"/>
      </rPr>
      <t>徐珍</t>
    </r>
  </si>
  <si>
    <r>
      <rPr>
        <rFont val=""/>
        <b val="false"/>
        <i val="false"/>
        <strike val="false"/>
        <color rgb="FF000000"/>
        <sz val="10"/>
        <u val="none"/>
      </rPr>
      <t>李诗书</t>
    </r>
  </si>
  <si>
    <r>
      <rPr>
        <rFont val="微软雅黑"/>
        <b val="false"/>
        <i val="false"/>
        <strike val="false"/>
        <color rgb="FF000000"/>
        <sz val="10"/>
        <u val="none"/>
      </rPr>
      <t>朱云</t>
    </r>
  </si>
  <si>
    <r>
      <rPr>
        <rFont val=""/>
        <b val="false"/>
        <i val="false"/>
        <strike val="false"/>
        <color rgb="FF000000"/>
        <sz val="10"/>
        <u val="none"/>
      </rPr>
      <t>郑会君</t>
    </r>
  </si>
  <si>
    <r>
      <rPr>
        <color rgb="FF267EF0"/>
        <u val="none"/>
      </rPr>
      <t>【2026 众瀚讲堂】培训报名表</t>
    </r>
  </si>
  <si>
    <r>
      <rPr>
        <rFont val="微软雅黑"/>
        <b val="true"/>
        <i val="false"/>
        <strike val="false"/>
        <color rgb="FFFFFFFF"/>
        <sz val="11"/>
        <u val="none"/>
      </rPr>
      <t>日用百货部</t>
    </r>
    <r>
      <rPr>
        <rFont val="微软雅黑"/>
        <b val="true"/>
        <i val="false"/>
        <strike val="false"/>
        <color rgb="FFFFFFFF"/>
        <sz val="11"/>
        <u val="none"/>
      </rPr>
      <t xml:space="preserve">
（一组）</t>
    </r>
  </si>
  <si>
    <r>
      <rPr>
        <rFont val="微软雅黑"/>
        <b val="true"/>
        <i val="false"/>
        <strike val="false"/>
        <color rgb="FFFFFFFF"/>
        <sz val="11"/>
        <u val="none"/>
      </rPr>
      <t>日用百货部</t>
    </r>
    <r>
      <rPr>
        <rFont val="微软雅黑"/>
        <b val="true"/>
        <i val="false"/>
        <strike val="false"/>
        <color rgb="FFFFFFFF"/>
        <sz val="11"/>
        <u val="none"/>
      </rPr>
      <t xml:space="preserve">
（二组）</t>
    </r>
  </si>
  <si>
    <r>
      <rPr>
        <rFont val="微软雅黑"/>
        <b val="true"/>
        <i val="false"/>
        <strike val="false"/>
        <color rgb="FFFFFFFF"/>
        <sz val="11"/>
        <u val="none"/>
      </rPr>
      <t>日用百货部</t>
    </r>
    <r>
      <rPr>
        <rFont val="微软雅黑"/>
        <b val="true"/>
        <i val="false"/>
        <strike val="false"/>
        <color rgb="FFFFFFFF"/>
        <sz val="11"/>
        <u val="none"/>
      </rPr>
      <t xml:space="preserve">
（三组）</t>
    </r>
  </si>
  <si>
    <r>
      <rPr>
        <rFont val="微软雅黑"/>
        <b val="true"/>
        <i val="false"/>
        <strike val="false"/>
        <color rgb="FFFFFFFF"/>
        <sz val="11"/>
        <u val="none"/>
      </rPr>
      <t>日本事业部</t>
    </r>
    <r>
      <rPr>
        <rFont val=""/>
        <b val="false"/>
        <i val="false"/>
        <strike val="false"/>
        <color rgb="FFFFFFFF"/>
        <sz val="11"/>
        <u val="none"/>
      </rPr>
      <t xml:space="preserve">
（一部）</t>
    </r>
  </si>
  <si>
    <r>
      <rPr>
        <rFont val="微软雅黑"/>
        <b val="true"/>
        <i val="false"/>
        <strike val="false"/>
        <color rgb="FFFFFFFF"/>
        <sz val="11"/>
        <u val="none"/>
      </rPr>
      <t>日本事业部</t>
    </r>
    <r>
      <rPr>
        <rFont val=""/>
        <b val="false"/>
        <i val="false"/>
        <strike val="false"/>
        <color rgb="FFFFFFFF"/>
        <sz val="11"/>
        <u val="none"/>
      </rPr>
      <t xml:space="preserve">
（二部）</t>
    </r>
  </si>
</sst>
</file>

<file path=xl/styles.xml><?xml version="1.0" encoding="utf-8"?>
<styleSheet xmlns="http://schemas.openxmlformats.org/spreadsheetml/2006/main">
  <numFmts count="3">
    <numFmt numFmtId="300" formatCode="yyyy/m/d;@"/>
    <numFmt numFmtId="301" formatCode="m&quot;月&quot;"/>
    <numFmt numFmtId="302" formatCode="yyyy/m/d"/>
  </numFmts>
  <fonts count="4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i val="false"/>
      <strike val="false"/>
      <color rgb="FF7B7B7B"/>
      <sz val="20"/>
    </font>
    <font>
      <name val="Microsoft YaHei"/>
      <b val="true"/>
      <color rgb="FF333333"/>
      <sz val="24"/>
    </font>
    <font>
      <b val="true"/>
      <i val="false"/>
      <strike val="false"/>
      <color rgb="FF5C5C5C"/>
      <sz val="10"/>
    </font>
    <font>
      <color rgb="FF000000"/>
      <sz val="10"/>
    </font>
    <font>
      <name val="Microsoft YaHei"/>
      <b val="true"/>
      <color rgb="FFFFC000"/>
      <sz val="22"/>
    </font>
    <font>
      <name val="Microsoft YaHei"/>
      <b val="true"/>
      <color rgb="FFFFC000"/>
      <sz val="22"/>
    </font>
    <font>
      <b val="true"/>
      <i val="false"/>
      <strike val="false"/>
      <color rgb="FFFFFFFF"/>
      <sz val="11"/>
    </font>
    <font>
      <b val="true"/>
      <color rgb="FF000000"/>
      <sz val="28"/>
    </font>
    <font>
      <color rgb="FF000000"/>
      <sz val="10"/>
    </font>
    <font>
      <b val="true"/>
      <color rgb="FF000000"/>
      <sz val="10"/>
    </font>
    <font>
      <b val="true"/>
      <color rgb="FF000000"/>
      <sz val="10"/>
    </font>
    <font>
      <b val="true"/>
      <color rgb="FF000000"/>
      <sz val="28"/>
    </font>
    <font>
      <color rgb="FF000000"/>
      <sz val="28"/>
    </font>
    <font>
      <color rgb="FF000000"/>
      <sz val="10"/>
    </font>
    <font>
      <color rgb="FF000000"/>
      <sz val="10"/>
    </font>
    <font>
      <b val="false"/>
      <color rgb="FF000000"/>
      <sz val="10"/>
    </font>
    <font>
      <b val="true"/>
      <color rgb="FF5C5C5C"/>
      <sz val="10"/>
    </font>
    <font>
      <b val="true"/>
      <i val="false"/>
      <strike val="false"/>
      <color rgb="FFFFB84D"/>
      <sz val="20"/>
    </font>
    <font>
      <b val="true"/>
      <color rgb="FFFFC000"/>
      <sz val="20"/>
    </font>
    <font>
      <b val="true"/>
      <color rgb="FFFFB84D"/>
      <sz val="20"/>
    </font>
    <font>
      <b val="false"/>
      <i val="false"/>
      <strike val="false"/>
      <color rgb="FF000000"/>
      <sz val="10"/>
    </font>
    <font>
      <b val="true"/>
      <color rgb="FFFFFFFF"/>
      <sz val="11"/>
    </font>
    <font>
      <b val="true"/>
      <color rgb="FFFFFFFF"/>
      <sz val="11"/>
    </font>
    <font>
      <sz val="11"/>
    </font>
    <font>
      <b val="true"/>
      <i val="false"/>
      <strike val="false"/>
      <color rgb="FFFF0000"/>
      <sz val="11"/>
    </font>
    <font>
      <b val="true"/>
      <color rgb="FFFF0000"/>
      <sz val="11"/>
    </font>
    <font>
      <b val="true"/>
      <color rgb="FFFF0000"/>
      <sz val="11"/>
    </font>
    <font>
      <b val="true"/>
      <i val="false"/>
      <strike val="false"/>
      <color rgb="FF000000"/>
      <sz val="11"/>
    </font>
    <font>
      <b val="true"/>
      <color rgb="FF000000"/>
      <sz val="11"/>
    </font>
    <font>
      <color rgb="FF000000"/>
      <sz val="11"/>
    </font>
    <font>
      <b val="false"/>
      <i val="false"/>
      <strike val="false"/>
      <color rgb="FF000000"/>
      <sz val="11"/>
    </font>
    <font>
      <color rgb="FF939393"/>
      <sz val="11"/>
    </font>
    <font>
      <b val="true"/>
      <i val="false"/>
      <strike val="false"/>
      <color rgb="FF000000"/>
      <sz val="12"/>
    </font>
    <font>
      <b val="true"/>
      <color rgb="FF000000"/>
      <sz val="12"/>
    </font>
    <font>
      <sz val="12"/>
    </font>
    <font>
      <b val="false"/>
      <sz val="10"/>
    </font>
    <font>
      <sz val="10"/>
    </font>
  </fonts>
  <fills count="11">
    <fill>
      <patternFill patternType="none"/>
    </fill>
    <fill>
      <patternFill patternType="gray125"/>
    </fill>
    <fill>
      <patternFill patternType="solid">
        <fgColor rgb="FFFFFFFF"/>
        <bgColor auto="true"/>
      </patternFill>
    </fill>
    <fill>
      <patternFill patternType="none"/>
    </fill>
    <fill>
      <patternFill patternType="solid">
        <fgColor rgb="FFFFD966"/>
        <bgColor auto="true"/>
      </patternFill>
    </fill>
    <fill>
      <patternFill patternType="none"/>
    </fill>
    <fill>
      <patternFill patternType="solid">
        <fgColor rgb="FF5C5C5C"/>
        <bgColor auto="true"/>
      </patternFill>
    </fill>
    <fill/>
    <fill>
      <patternFill patternType="solid">
        <fgColor rgb="FFFFFFFF"/>
        <bgColor auto="true"/>
      </patternFill>
    </fill>
    <fill/>
    <fill/>
  </fills>
  <borders count="20">
    <border>
      <left/>
      <right/>
      <top/>
      <bottom/>
      <diagonal/>
    </border>
    <border/>
    <border/>
    <border/>
    <border/>
    <border>
      <left style="thin">
        <color rgb="FFC4C4C4"/>
      </left>
      <right style="thin">
        <color rgb="FFC4C4C4"/>
      </right>
      <top style="thin">
        <color rgb="FFC4C4C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D9D9D"/>
      </left>
      <right style="thin">
        <color rgb="FF9D9D9D"/>
      </right>
      <top style="thin">
        <color rgb="FF9D9D9D"/>
      </top>
      <bottom style="thin">
        <color rgb="FF9D9D9D"/>
      </bottom>
    </border>
    <border diagonalUp="true" diagonalDown="true">
      <left/>
      <right/>
      <top/>
      <bottom/>
      <diagonal/>
    </border>
  </borders>
  <cellStyleXfs>
    <xf numFmtId="0" fontId="0" fillId="0" borderId="0" xfId="0">
      <alignment vertical="center"/>
    </xf>
  </cellStyleXfs>
  <cellXfs count="13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horizontal="left" vertical="center"/>
    </xf>
    <xf numFmtId="0" fontId="3" fillId="2" borderId="0" xfId="0">
      <alignment horizontal="left" vertical="center"/>
    </xf>
    <xf numFmtId="0" fontId="4" fillId="0" borderId="1" xfId="0">
      <alignment horizontal="left" vertical="center"/>
    </xf>
    <xf numFmtId="0" fontId="4" fillId="0" borderId="2" xfId="0">
      <alignment vertical="center"/>
    </xf>
    <xf numFmtId="0" fontId="4" fillId="0" borderId="2" xfId="0">
      <alignment horizontal="left" vertical="center"/>
    </xf>
    <xf numFmtId="0" fontId="4" fillId="0" borderId="3" xfId="0">
      <alignment vertical="center"/>
    </xf>
    <xf numFmtId="0" fontId="4" fillId="3" borderId="4" xfId="0">
      <alignment horizontal="center" vertical="center"/>
    </xf>
    <xf numFmtId="0" fontId="5" fillId="0" borderId="0" xfId="0">
      <alignment horizontal="center" vertical="center"/>
    </xf>
    <xf numFmtId="0" fontId="5" fillId="4" borderId="5" xfId="0">
      <alignment horizontal="center" vertical="center"/>
    </xf>
    <xf numFmtId="0" fontId="5" fillId="4" borderId="5" xfId="0">
      <alignment horizontal="left" vertical="center"/>
    </xf>
    <xf numFmtId="0" fontId="5" fillId="5" borderId="0" xfId="0">
      <alignment horizontal="center" vertical="center"/>
    </xf>
    <xf numFmtId="14" fontId="6" fillId="0" borderId="0" xfId="0">
      <alignment horizontal="center" vertical="center"/>
    </xf>
    <xf numFmtId="300" fontId="0" fillId="0" borderId="6" xfId="0">
      <alignment horizontal="center" vertical="center" textRotation="0" indent="0" justifyLastLine="false" shrinkToFit="false"/>
    </xf>
    <xf numFmtId="300" fontId="0" fillId="0" borderId="7" xfId="0">
      <alignment horizontal="center" vertical="center" textRotation="0" indent="0" justifyLastLine="false" shrinkToFit="false"/>
    </xf>
    <xf fontId="0" fillId="0" borderId="7" xfId="0">
      <alignment horizontal="center" vertical="center" textRotation="0" indent="0" justifyLastLine="false" shrinkToFit="false"/>
    </xf>
    <xf numFmtId="300" fontId="0" fillId="0" borderId="7" xfId="0">
      <alignment horizontal="left" vertical="center" textRotation="0" indent="0" justifyLastLine="false" shrinkToFit="false"/>
    </xf>
    <xf numFmtId="14" fontId="0" fillId="3" borderId="0" xfId="0">
      <alignment horizontal="center" vertical="center"/>
    </xf>
    <xf fontId="0" fillId="0" borderId="6" xfId="0">
      <alignment horizontal="center" vertical="center" textRotation="0" indent="0" justifyLastLine="false" shrinkToFit="false"/>
    </xf>
    <xf numFmtId="300" fontId="0" fillId="0" borderId="8" xfId="0">
      <alignment horizontal="center" vertical="center" textRotation="0" indent="0" justifyLastLine="false" shrinkToFit="false"/>
    </xf>
    <xf fontId="0" fillId="0" borderId="8" xfId="0">
      <alignment horizontal="center" vertical="center" textRotation="0" indent="0" justifyLastLine="false" shrinkToFit="false"/>
    </xf>
    <xf numFmtId="300" fontId="0" fillId="0" borderId="8" xfId="0">
      <alignment horizontal="left" vertical="center" textRotation="0" indent="0" justifyLastLine="false" shrinkToFit="false"/>
    </xf>
    <xf fontId="0" fillId="0" borderId="6" xfId="0">
      <alignment horizontal="left" vertical="center" textRotation="0" indent="0" justifyLastLine="false" shrinkToFit="false"/>
    </xf>
    <xf fontId="0" fillId="0" borderId="8" xfId="0">
      <alignment horizontal="left" vertical="center" textRotation="0" indent="0" justifyLastLine="false" shrinkToFit="false"/>
    </xf>
    <xf numFmtId="300" fontId="0" fillId="0" borderId="6" xfId="0">
      <alignment horizontal="left" vertical="center" textRotation="0" indent="0" justifyLastLine="false" shrinkToFit="false"/>
    </xf>
    <xf fontId="7" fillId="5" borderId="0" xfId="0">
      <alignment horizontal="left" vertical="center" wrapText="true"/>
    </xf>
    <xf fontId="8" fillId="5" borderId="0" xfId="0">
      <alignment horizontal="left" vertical="center" wrapText="false"/>
    </xf>
    <xf numFmtId="0" fontId="9" fillId="5" borderId="0" xfId="0">
      <alignment horizontal="center" vertical="center"/>
    </xf>
    <xf numFmtId="301" fontId="9" fillId="5" borderId="0" xfId="0">
      <alignment horizontal="center" vertical="center"/>
    </xf>
    <xf numFmtId="0" fontId="9" fillId="6" borderId="9" xfId="0">
      <alignment horizontal="right" vertical="bottom"/>
    </xf>
    <xf numFmtId="0" fontId="9" fillId="6" borderId="10" xfId="0">
      <alignment horizontal="center" vertical="bottom"/>
    </xf>
    <xf numFmtId="0" fontId="9" fillId="6" borderId="11" xfId="0">
      <alignment horizontal="center" vertical="bottom"/>
    </xf>
    <xf numFmtId="301" fontId="9" fillId="6" borderId="11" xfId="0">
      <alignment horizontal="center" vertical="bottom"/>
    </xf>
    <xf numFmtId="301" fontId="9" fillId="6" borderId="12" xfId="0">
      <alignment horizontal="center" vertical="bottom"/>
    </xf>
    <xf numFmtId="301" fontId="9" fillId="5" borderId="0" xfId="0">
      <alignment horizontal="center" vertical="bottom"/>
    </xf>
    <xf numFmtId="0" fontId="10" fillId="2" borderId="0" xfId="0">
      <alignment horizontal="right" vertical="center"/>
    </xf>
    <xf numFmtId="0" fontId="11" fillId="0" borderId="9" xfId="0">
      <alignment horizontal="right" vertical="center"/>
    </xf>
    <xf numFmtId="0" fontId="11" fillId="0" borderId="9" xfId="0">
      <alignment horizontal="center" vertical="center"/>
    </xf>
    <xf numFmtId="0" fontId="12" fillId="0" borderId="13" xfId="0">
      <alignment horizontal="center" vertical="center"/>
    </xf>
    <xf numFmtId="0" fontId="13" fillId="2" borderId="9" xfId="0">
      <alignment horizontal="center" vertical="center"/>
    </xf>
    <xf numFmtId="0" fontId="6" fillId="3" borderId="0" xfId="0">
      <alignment horizontal="center" vertical="center"/>
    </xf>
    <xf numFmtId="0" fontId="14" fillId="2" borderId="0" xfId="0">
      <alignment horizontal="right" vertical="center"/>
    </xf>
    <xf numFmtId="0" fontId="6" fillId="0" borderId="9" xfId="0">
      <alignment horizontal="right" vertical="center"/>
    </xf>
    <xf numFmtId="0" fontId="6" fillId="0" borderId="9" xfId="0">
      <alignment horizontal="center" vertical="center"/>
    </xf>
    <xf numFmtId="0" fontId="13" fillId="0" borderId="13" xfId="0">
      <alignment horizontal="center" vertical="center"/>
    </xf>
    <xf numFmtId="0" fontId="12" fillId="2" borderId="9" xfId="0">
      <alignment horizontal="center" vertical="center"/>
    </xf>
    <xf numFmtId="0" fontId="6" fillId="7" borderId="9" xfId="0">
      <alignment horizontal="right" vertical="center"/>
    </xf>
    <xf numFmtId="0" fontId="6" fillId="7" borderId="9" xfId="0">
      <alignment horizontal="center" vertical="center"/>
    </xf>
    <xf numFmtId="0" fontId="13" fillId="7" borderId="13" xfId="0">
      <alignment horizontal="center" vertical="center"/>
    </xf>
    <xf numFmtId="0" fontId="11" fillId="3" borderId="0" xfId="0">
      <alignment horizontal="center" vertical="center"/>
    </xf>
    <xf numFmtId="0" fontId="14" fillId="8" borderId="0" xfId="0">
      <alignment horizontal="right" vertical="center"/>
    </xf>
    <xf numFmtId="0" fontId="13" fillId="8" borderId="9" xfId="0">
      <alignment horizontal="center" vertical="center"/>
    </xf>
    <xf numFmtId="0" fontId="6" fillId="5" borderId="0" xfId="0">
      <alignment horizontal="center" vertical="center"/>
    </xf>
    <xf numFmtId="0" fontId="12" fillId="7" borderId="13" xfId="0">
      <alignment horizontal="center" vertical="center"/>
    </xf>
    <xf numFmtId="0" fontId="11" fillId="7" borderId="9" xfId="0">
      <alignment horizontal="center" vertical="center"/>
    </xf>
    <xf numFmtId="0" fontId="10" fillId="8" borderId="0" xfId="0">
      <alignment horizontal="right" vertical="center"/>
    </xf>
    <xf fontId="15" fillId="2" borderId="0" xfId="0">
      <alignment horizontal="right" vertical="center"/>
    </xf>
    <xf numFmtId="0" fontId="11" fillId="5" borderId="0" xfId="0">
      <alignment horizontal="center" vertical="center"/>
    </xf>
    <xf numFmtId="0" fontId="16" fillId="0" borderId="9" xfId="0">
      <alignment horizontal="center" vertical="center"/>
    </xf>
    <xf numFmtId="0" fontId="12" fillId="8" borderId="9" xfId="0">
      <alignment horizontal="center" vertical="center"/>
    </xf>
    <xf numFmtId="0" fontId="17" fillId="9" borderId="9" xfId="0">
      <alignment horizontal="center" vertical="center"/>
    </xf>
    <xf numFmtId="0" fontId="12" fillId="9" borderId="13" xfId="0">
      <alignment horizontal="center" vertical="center"/>
    </xf>
    <xf numFmtId="0" fontId="11" fillId="9" borderId="9" xfId="0">
      <alignment horizontal="center" vertical="center"/>
    </xf>
    <xf numFmtId="0" fontId="6" fillId="10" borderId="9" xfId="0">
      <alignment horizontal="right" vertical="center"/>
    </xf>
    <xf numFmtId="0" fontId="6" fillId="10" borderId="9" xfId="0">
      <alignment horizontal="center" vertical="center"/>
    </xf>
    <xf numFmtId="0" fontId="13" fillId="10" borderId="13" xfId="0">
      <alignment horizontal="center" vertical="center"/>
    </xf>
    <xf numFmtId="0" fontId="11" fillId="10" borderId="9" xfId="0">
      <alignment horizontal="right" vertical="center"/>
    </xf>
    <xf numFmtId="0" fontId="11" fillId="10" borderId="9" xfId="0">
      <alignment horizontal="center" vertical="center"/>
    </xf>
    <xf numFmtId="0" fontId="12" fillId="10" borderId="13" xfId="0">
      <alignment horizontal="center" vertical="center"/>
    </xf>
    <xf fontId="6" fillId="3" borderId="0" xfId="0">
      <alignment horizontal="center" vertical="center"/>
    </xf>
    <xf fontId="6" fillId="0" borderId="0" xfId="0">
      <alignment horizontal="right" vertical="center"/>
    </xf>
    <xf fontId="6" fillId="0" borderId="0" xfId="0">
      <alignment horizontal="center" vertical="center"/>
    </xf>
    <xf numFmtId="0" fontId="13" fillId="2" borderId="0" xfId="0">
      <alignment horizontal="center" vertical="center"/>
    </xf>
    <xf numFmtId="14" fontId="3" fillId="0" borderId="0" xfId="0">
      <alignment horizontal="left" vertical="center"/>
    </xf>
    <xf fontId="18" fillId="0" borderId="0" xfId="0">
      <alignment vertical="center"/>
    </xf>
    <xf numFmtId="0" fontId="5" fillId="2" borderId="0" xfId="0">
      <alignment horizontal="center" vertical="center"/>
    </xf>
    <xf numFmtId="14" fontId="5" fillId="4" borderId="14" xfId="0">
      <alignment horizontal="center" vertical="center"/>
    </xf>
    <xf numFmtId="0" fontId="5" fillId="4" borderId="14" xfId="0">
      <alignment horizontal="center" vertical="center"/>
    </xf>
    <xf numFmtId="0" fontId="19" fillId="4" borderId="14" xfId="0">
      <alignment horizontal="center" vertical="center"/>
    </xf>
    <xf numFmtId="0" fontId="5" fillId="4" borderId="14" xfId="0">
      <alignment horizontal="left" vertical="center"/>
    </xf>
    <xf numFmtId="300" fontId="0" fillId="0" borderId="14" xfId="0">
      <alignment horizontal="center" vertical="center" textRotation="0" indent="0" justifyLastLine="false" shrinkToFit="false"/>
    </xf>
    <xf fontId="0" fillId="0" borderId="14" xfId="0">
      <alignment horizontal="center" vertical="center" textRotation="0" indent="0" justifyLastLine="false" shrinkToFit="false"/>
    </xf>
    <xf fontId="0" fillId="0" borderId="14" xfId="0">
      <alignment horizontal="left" vertical="center" textRotation="0" indent="0" justifyLastLine="false" shrinkToFit="false"/>
    </xf>
    <xf fontId="0" fillId="0" borderId="6" xfId="0">
      <alignment vertical="center" textRotation="0" indent="0" justifyLastLine="false" shrinkToFit="false"/>
    </xf>
    <xf fontId="0" fillId="0" borderId="14" xfId="0">
      <alignment vertical="center" textRotation="0" indent="0" justifyLastLine="false" shrinkToFit="false"/>
    </xf>
    <xf fontId="0" fillId="0" borderId="15" xfId="0">
      <alignment horizontal="center" vertical="center" textRotation="0" indent="0" justifyLastLine="false" shrinkToFit="false"/>
    </xf>
    <xf fontId="0" fillId="0" borderId="16" xfId="0">
      <alignment horizontal="center" vertical="center" textRotation="0" indent="0" justifyLastLine="false" shrinkToFit="false"/>
    </xf>
    <xf fontId="0" fillId="0" borderId="17" xfId="0">
      <alignment horizontal="center" vertical="center" textRotation="0" indent="0" justifyLastLine="false" shrinkToFit="false"/>
    </xf>
    <xf numFmtId="14" fontId="0" fillId="0" borderId="14" xfId="0">
      <alignment horizontal="center" vertical="center" textRotation="0" indent="0" justifyLastLine="false" shrinkToFit="false"/>
    </xf>
    <xf fontId="18" fillId="2" borderId="0" xfId="0">
      <alignment vertical="center"/>
    </xf>
    <xf numFmtId="14" fontId="18" fillId="0" borderId="0" xfId="0">
      <alignment vertical="center"/>
    </xf>
    <xf fontId="18" fillId="0" borderId="0" xfId="0">
      <alignment horizontal="center" vertical="center"/>
    </xf>
    <xf fontId="18" fillId="0" borderId="0" xfId="0">
      <alignment horizontal="left" vertical="center"/>
    </xf>
    <xf numFmtId="0" fontId="20" fillId="0" borderId="0" xfId="0">
      <alignment horizontal="left" vertical="center"/>
    </xf>
    <xf numFmtId="0" fontId="21" fillId="0" borderId="1" xfId="0">
      <alignment horizontal="left" vertical="center"/>
    </xf>
    <xf numFmtId="0" fontId="22" fillId="0" borderId="2" xfId="0">
      <alignment vertical="center"/>
    </xf>
    <xf numFmtId="0" fontId="22" fillId="0" borderId="3" xfId="0">
      <alignment vertical="center"/>
    </xf>
    <xf numFmtId="0" fontId="23" fillId="0" borderId="0" xfId="0">
      <alignment vertical="center"/>
    </xf>
    <xf numFmtId="0" fontId="9" fillId="6" borderId="18" xfId="0">
      <alignment horizontal="center" vertical="top"/>
    </xf>
    <xf numFmtId="0" fontId="24" fillId="6" borderId="18" xfId="0">
      <alignment horizontal="center" vertical="top"/>
    </xf>
    <xf numFmtId="0" fontId="24" fillId="6" borderId="18" xfId="0">
      <alignment horizontal="center" vertical="top" wrapText="true"/>
    </xf>
    <xf numFmtId="0" fontId="9" fillId="6" borderId="18" xfId="0">
      <alignment horizontal="center" vertical="top" wrapText="true"/>
    </xf>
    <xf numFmtId="0" fontId="25" fillId="6" borderId="18" xfId="0">
      <alignment horizontal="center" vertical="top"/>
    </xf>
    <xf fontId="26" fillId="2" borderId="0" xfId="0">
      <alignment vertical="top"/>
    </xf>
    <xf numFmtId="0" fontId="27" fillId="4" borderId="18" xfId="0">
      <alignment horizontal="center" vertical="center"/>
    </xf>
    <xf numFmtId="0" fontId="28" fillId="4" borderId="18" xfId="0">
      <alignment horizontal="center" vertical="center"/>
    </xf>
    <xf numFmtId="0" fontId="29" fillId="4" borderId="18" xfId="0">
      <alignment horizontal="center" vertical="center"/>
    </xf>
    <xf numFmtId="0" fontId="26" fillId="2" borderId="0" xfId="0">
      <alignment vertical="center"/>
    </xf>
    <xf fontId="26" fillId="2" borderId="0" xfId="0">
      <alignment vertical="center"/>
    </xf>
    <xf numFmtId="0" fontId="30" fillId="4" borderId="18" xfId="0">
      <alignment horizontal="center" vertical="center"/>
    </xf>
    <xf numFmtId="0" fontId="31" fillId="4" borderId="18" xfId="0">
      <alignment horizontal="center" vertical="center"/>
    </xf>
    <xf numFmtId="301" fontId="9" fillId="6" borderId="13" xfId="0">
      <alignment horizontal="center" vertical="center"/>
    </xf>
    <xf numFmtId="0" fontId="32" fillId="2" borderId="18" xfId="0">
      <alignment horizontal="center" vertical="center"/>
    </xf>
    <xf numFmtId="0" fontId="33" fillId="2" borderId="18" xfId="0">
      <alignment horizontal="center" vertical="center"/>
    </xf>
    <xf numFmtId="0" fontId="34" fillId="2" borderId="18" xfId="0">
      <alignment horizontal="center" vertical="center"/>
    </xf>
    <xf numFmtId="0" fontId="35" fillId="2" borderId="0" xfId="0">
      <alignment horizontal="center" vertical="center"/>
    </xf>
    <xf numFmtId="0" fontId="36" fillId="2" borderId="0" xfId="0">
      <alignment horizontal="center" vertical="center"/>
    </xf>
    <xf fontId="37" fillId="2" borderId="0" xfId="0">
      <alignment vertical="center"/>
    </xf>
    <xf fontId="0" fillId="0" borderId="0" xfId="0">
      <alignment horizontal="center" vertical="center"/>
    </xf>
    <xf fontId="0" fillId="0" borderId="19" xfId="0">
      <alignment vertical="center"/>
    </xf>
    <xf fontId="38" fillId="2" borderId="0" xfId="0">
      <alignment vertical="center"/>
    </xf>
    <xf fontId="39" fillId="0" borderId="0" xfId="0">
      <alignment vertical="center"/>
    </xf>
    <xf numFmtId="0" fontId="23" fillId="0" borderId="19" xfId="0">
      <alignment horizontal="center" vertical="center"/>
    </xf>
    <xf numFmtId="0" fontId="23" fillId="0" borderId="19" xfId="0">
      <alignment horizontal="left" vertical="center"/>
    </xf>
    <xf fontId="0" fillId="0" borderId="0" xfId="0">
      <alignment horizontal="left" vertical="center"/>
    </xf>
    <xf fontId="0" fillId="5" borderId="0" xfId="0">
      <alignment vertical="center"/>
    </xf>
    <xf fontId="0" fillId="5" borderId="0" xfId="0">
      <alignment vertical="center"/>
    </xf>
    <xf fontId="0" fillId="0" borderId="0" xfId="0">
      <alignment vertical="bottom"/>
    </xf>
    <xf numFmtId="302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ColorStyle" Target="colors1.xml" /><Relationship Id="rId0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barChart>
        <c:barDir val="col"/>
        <c:grouping val="standard"/>
        <c:ser>
          <c:idx val="1"/>
          <c:order val="0"/>
          <c:tx>
            <c:strRef>
              <c:f>'☆1 团队积分榜2026'!$A$4</c:f>
            </c:strRef>
          </c:tx>
          <c:spPr>
            <a:solidFill>
              <a:schemeClr val="accent4"/>
            </a:solidFill>
          </c:spPr>
          <c:dLbls>
            <c:numFmt formatCode="General" sourceLinked="true"/>
            <c:txPr>
              <a:bodyPr/>
              <a:p>
                <a:pPr>
                  <a:defRPr b="false" i="false">
                    <a:solidFill>
                      <a:srgbClr val="000000"/>
                    </a:solidFill>
                  </a:defRPr>
                </a:pPr>
              </a:p>
            </c:txPr>
            <c:dLblPos val="ctr"/>
            <c:showLegendKey val="false"/>
            <c:showVal/>
            <c:showCatName val="false"/>
            <c:showSerName val="false"/>
            <c:showPercent val="false"/>
            <c:showBubbleSize val="false"/>
            <c:separator>,</c:separator>
            <c:showLeaderLines val="false"/>
          </c:dLbls>
          <c:cat>
            <c:strRef>
              <c:f>'☆1 团队积分榜2026'!$B$2:$R$2</c:f>
            </c:strRef>
          </c:cat>
          <c:val>
            <c:numRef>
              <c:f>'☆1 团队积分榜2026'!$B$4:$R$4</c:f>
            </c:numRef>
          </c:val>
        </c:ser>
        <c:dLbls>
          <c:numFmt formatCode="General" sourceLinked="true"/>
          <c:txPr>
            <a:bodyPr/>
            <a:p>
              <a:pPr>
                <a:defRPr b="false" i="false"/>
              </a:pPr>
            </a:p>
          </c:txPr>
          <c:dLblPos val="outEnd"/>
          <c:showLegendKey val="false"/>
          <c:showVal/>
          <c:showCatName val="false"/>
          <c:showSerName val="false"/>
          <c:showPercent val="false"/>
          <c:showBubbleSize val="false"/>
          <c:showLeaderLines val="false"/>
        </c:dLbls>
        <c:overlap val="-27"/>
        <c:axId val="817745611"/>
        <c:axId val="384139299"/>
      </c:barChart>
      <c:catAx>
        <c:axId val="817745611"/>
        <c:scaling/>
        <c:delete val="false"/>
        <c:axPos val="b"/>
        <c:numFmt formatCode="General" sourceLinked="true"/>
        <c:majorTickMark/>
        <c:txPr>
          <a:bodyPr/>
          <a:p>
            <a:pPr>
              <a:defRPr b="false" i="false"/>
            </a:pPr>
          </a:p>
        </c:txPr>
        <c:crossAx val="384139299"/>
      </c:catAx>
      <c:valAx>
        <c:axId val="384139299"/>
        <c:scaling/>
        <c:delete val="false"/>
        <c:axPos val="l"/>
        <c:numFmt formatCode="General" sourceLinked="true"/>
        <c:majorTickMark/>
        <c:txPr>
          <a:bodyPr/>
          <a:p>
            <a:pPr>
              <a:defRPr b="false" i="false"/>
            </a:pPr>
          </a:p>
        </c:txPr>
        <c:crossAx val="817745611"/>
      </c:valAx>
    </c:plotArea>
    <c:plotVisOnly/>
    <c:dispBlanksAs val="zero"/>
  </c:chart>
</c:chartSpace>
</file>

<file path=xl/charts/colors1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0" mc:Ignorable="cs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1.png" /><Relationship Id="rId0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2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oneCellAnchor>
    <xdr:from>
      <xdr:col>0</xdr:col>
      <xdr:colOff>76200</xdr:colOff>
      <xdr:row>20</xdr:row>
      <xdr:rowOff>200025</xdr:rowOff>
    </xdr:from>
    <xdr:ext cx="18068925" cy="2171700"/>
    <xdr:graphicFrame>
      <xdr:nvGraphicFramePr>
        <xdr:cNvPr id="1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oneCellAnchor>
  <xdr:oneCellAnchor>
    <xdr:from>
      <xdr:col>0</xdr:col>
      <xdr:colOff>85725</xdr:colOff>
      <xdr:row>0</xdr:row>
      <xdr:rowOff>0</xdr:rowOff>
    </xdr:from>
    <xdr:ext cx="742950" cy="742950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85725</xdr:colOff>
      <xdr:row>0</xdr:row>
      <xdr:rowOff>19050</xdr:rowOff>
    </xdr:from>
    <xdr:ext cx="742950" cy="742950"/>
    <xdr:pic>
      <xdr:nvPicPr>
        <xdr:cNvPr id="3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342900</xdr:colOff>
      <xdr:row>0</xdr:row>
      <xdr:rowOff>0</xdr:rowOff>
    </xdr:from>
    <xdr:ext cx="742950" cy="742950"/>
    <xdr:pic>
      <xdr:nvPicPr>
        <xdr:cNvPr id="4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66675</xdr:colOff>
      <xdr:row>0</xdr:row>
      <xdr:rowOff>0</xdr:rowOff>
    </xdr:from>
    <xdr:ext cx="809625" cy="809625"/>
    <xdr:pic>
      <xdr:nvPicPr>
        <xdr:cNvPr id="5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0" Type="http://schemas.openxmlformats.org/officeDocument/2006/relationships/hyperlink" Target="https://doc.weixin.qq.com/sheet/e3_Aa0ADgZoAP8CNJjcTXMBlTZuwD01a?scode=ALMAdwd-AA8xxgJjoJAeUA3waVANY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☆1 团队积分榜2026">
    <tabColor rgb="FFFFFFFF"/>
  </sheetPr>
  <dimension ref="G87"/>
  <sheetViews>
    <sheetView showGridLines="false" rightToLeft="false" workbookViewId="0">
      <pane ySplit="4" topLeftCell="A5" state="frozen"/>
    </sheetView>
  </sheetViews>
  <cols>
    <col min="1" max="18" width="13.4922" customWidth="true"/>
  </cols>
  <sheetData>
    <row r="1" spans="1:10" ht="56.25" customHeight="true">
      <c r="A1" s="96" t="s"/>
      <c r="B1" s="97" t="s">
        <v>223</v>
      </c>
      <c r="C1" s="98" t="s"/>
      <c r="D1" s="98" t="s"/>
      <c r="E1" s="98" t="s"/>
      <c r="F1" s="98" t="s"/>
      <c r="G1" s="98" t="s"/>
      <c r="H1" s="98" t="s"/>
      <c r="I1" s="99" t="s"/>
      <c r="J1" s="100" t="s"/>
    </row>
    <row r="2" spans="1:26" ht="34.5" customHeight="true">
      <c r="A2" s="101" t="s">
        <v>224</v>
      </c>
      <c r="B2" s="102" t="s">
        <v>30</v>
      </c>
      <c r="C2" s="103" t="s">
        <v>236</v>
      </c>
      <c r="D2" s="103" t="s">
        <v>237</v>
      </c>
      <c r="E2" s="103" t="s">
        <v>238</v>
      </c>
      <c r="F2" s="101" t="s">
        <v>25</v>
      </c>
      <c r="G2" s="101" t="s">
        <v>8</v>
      </c>
      <c r="H2" s="104" t="s">
        <v>239</v>
      </c>
      <c r="I2" s="104" t="s">
        <v>240</v>
      </c>
      <c r="J2" s="101" t="s">
        <v>32</v>
      </c>
      <c r="K2" s="101" t="s">
        <v>225</v>
      </c>
      <c r="L2" s="101" t="s">
        <v>12</v>
      </c>
      <c r="M2" s="101" t="s">
        <v>131</v>
      </c>
      <c r="N2" s="101" t="s">
        <v>35</v>
      </c>
      <c r="O2" s="101" t="s">
        <v>24</v>
      </c>
      <c r="P2" s="101" t="s">
        <v>14</v>
      </c>
      <c r="Q2" s="101" t="s">
        <v>226</v>
      </c>
      <c r="R2" s="105" t="s">
        <v>37</v>
      </c>
      <c r="S2" s="106" t="s"/>
      <c r="T2" s="106" t="s"/>
      <c r="U2" s="106" t="s"/>
      <c r="V2" s="106" t="s"/>
      <c r="W2" s="106" t="s"/>
      <c r="X2" s="106" t="s"/>
      <c r="Y2" s="106" t="s"/>
      <c r="Z2" s="106" t="s"/>
    </row>
    <row r="3" spans="1:26" ht="28.5" customHeight="true">
      <c r="A3" s="107" t="s">
        <v>227</v>
      </c>
      <c r="B3" s="108" t="s"/>
      <c r="C3" s="108" t="s"/>
      <c r="D3" s="108" t="s"/>
      <c r="E3" s="108" t="s"/>
      <c r="F3" s="107" t="s"/>
      <c r="G3" s="109" t="s"/>
      <c r="H3" s="109" t="s"/>
      <c r="I3" s="109" t="s"/>
      <c r="J3" s="109" t="s"/>
      <c r="K3" s="109" t="s"/>
      <c r="L3" s="109" t="s"/>
      <c r="M3" s="109" t="s"/>
      <c r="N3" s="109" t="s"/>
      <c r="O3" s="109" t="s"/>
      <c r="P3" s="109" t="s"/>
      <c r="Q3" s="109" t="s"/>
      <c r="R3" s="109" t="s"/>
      <c r="S3" s="110" t="s"/>
      <c r="T3" s="111" t="s"/>
      <c r="U3" s="111" t="s"/>
      <c r="V3" s="111" t="s"/>
      <c r="W3" s="110" t="s"/>
      <c r="X3" s="111" t="s"/>
      <c r="Y3" s="111" t="s"/>
      <c r="Z3" s="111" t="s"/>
    </row>
    <row r="4" spans="1:26" ht="30" customHeight="true">
      <c r="A4" s="112" t="s">
        <v>228</v>
      </c>
      <c r="B4" s="113">
        <f>=SUM(B5:B16)</f>
        <v>4</v>
      </c>
      <c r="C4" s="113">
        <f>=SUM(C5:C16)</f>
        <v>2</v>
      </c>
      <c r="D4" s="113">
        <f>=SUM(D5:D16)</f>
        <v>4</v>
      </c>
      <c r="E4" s="113">
        <f>=SUM(E5:E16)</f>
        <v>4</v>
      </c>
      <c r="F4" s="112">
        <f>=SUM(F5:F16)</f>
        <v>8</v>
      </c>
      <c r="G4" s="112">
        <f>=SUM(G5:G16)</f>
        <v>8</v>
      </c>
      <c r="H4" s="112">
        <f>=SUM(H5:H16)</f>
        <v>2</v>
      </c>
      <c r="I4" s="112">
        <f>=SUM(I5:I16)</f>
        <v>2</v>
      </c>
      <c r="J4" s="112">
        <f>=SUM(J5:J16)</f>
        <v>4</v>
      </c>
      <c r="K4" s="112">
        <f>=SUM(K5:K16)</f>
        <v>2</v>
      </c>
      <c r="L4" s="112">
        <f>=SUM(L5:L16)</f>
        <v>0.5</v>
      </c>
      <c r="M4" s="112">
        <f>=SUM(M5:M16)</f>
        <v>2</v>
      </c>
      <c r="N4" s="112">
        <f>=SUM(N5:N16)</f>
        <v>2</v>
      </c>
      <c r="O4" s="112">
        <f>=SUM(O5:O16)</f>
        <v>4</v>
      </c>
      <c r="P4" s="112">
        <f>=SUM(P5:P16)</f>
        <v>2.5</v>
      </c>
      <c r="Q4" s="112">
        <f>=SUM(Q5:Q16)</f>
        <v>0</v>
      </c>
      <c r="R4" s="112">
        <f>=SUM(R5:R16)</f>
        <v>2</v>
      </c>
      <c r="S4" s="111" t="s"/>
      <c r="T4" s="111" t="s"/>
      <c r="U4" s="111" t="s"/>
      <c r="V4" s="111" t="s"/>
      <c r="W4" s="111" t="s"/>
      <c r="X4" s="111" t="s"/>
      <c r="Y4" s="111" t="s"/>
      <c r="Z4" s="111" t="s"/>
    </row>
    <row r="5" spans="1:26" ht="30" customHeight="true">
      <c r="A5" s="114">
        <v>45658</v>
      </c>
      <c r="B5" s="115" t="s"/>
      <c r="C5" s="115" t="s"/>
      <c r="D5" s="115" t="s"/>
      <c r="E5" s="115">
        <f>=2</f>
        <v>2</v>
      </c>
      <c r="F5" s="116" t="s"/>
      <c r="G5" s="116">
        <f>=2</f>
        <v>2</v>
      </c>
      <c r="H5" s="116" t="s"/>
      <c r="I5" s="116" t="s"/>
      <c r="J5" s="116" t="s"/>
      <c r="K5" s="116" t="s"/>
      <c r="L5" s="116" t="s"/>
      <c r="M5" s="116" t="s"/>
      <c r="N5" s="116" t="s"/>
      <c r="O5" s="116" t="s"/>
      <c r="P5" s="116" t="s"/>
      <c r="Q5" s="116" t="s"/>
      <c r="R5" s="116" t="s"/>
      <c r="S5" s="111" t="s"/>
      <c r="T5" s="111" t="s"/>
      <c r="U5" s="111" t="s"/>
      <c r="V5" s="111" t="s"/>
      <c r="W5" s="111" t="s"/>
      <c r="X5" s="111" t="s"/>
      <c r="Y5" s="111" t="s"/>
      <c r="Z5" s="111" t="s"/>
    </row>
    <row r="6" spans="1:26" ht="30" customHeight="true">
      <c r="A6" s="114">
        <v>45690</v>
      </c>
      <c r="B6" s="115">
        <f>=4</f>
        <v>4</v>
      </c>
      <c r="C6" s="115">
        <v>2</v>
      </c>
      <c r="D6" s="115">
        <f>=2+2</f>
        <v>4</v>
      </c>
      <c r="E6" s="115">
        <f>=2</f>
        <v>2</v>
      </c>
      <c r="F6" s="116">
        <f>=2+4+2</f>
        <v>8</v>
      </c>
      <c r="G6" s="116">
        <f>=2+2</f>
        <v>4</v>
      </c>
      <c r="H6" s="116">
        <v>2</v>
      </c>
      <c r="I6" s="116">
        <v>2</v>
      </c>
      <c r="J6" s="116">
        <v>4</v>
      </c>
      <c r="K6" s="116">
        <f>=2</f>
        <v>2</v>
      </c>
      <c r="L6" s="116" t="s"/>
      <c r="M6" s="116">
        <v>2</v>
      </c>
      <c r="N6" s="116">
        <v>2</v>
      </c>
      <c r="O6" s="116">
        <f>=2+2</f>
        <v>4</v>
      </c>
      <c r="P6" s="116">
        <v>2</v>
      </c>
      <c r="Q6" s="116" t="s"/>
      <c r="R6" s="116">
        <v>2</v>
      </c>
      <c r="S6" s="111" t="s"/>
      <c r="T6" s="111" t="s"/>
      <c r="U6" s="111" t="s"/>
      <c r="V6" s="111" t="s"/>
      <c r="W6" s="111" t="s"/>
      <c r="X6" s="111" t="s"/>
      <c r="Y6" s="111" t="s"/>
      <c r="Z6" s="111" t="s"/>
    </row>
    <row r="7" spans="1:26" ht="30" customHeight="true">
      <c r="A7" s="114">
        <v>45719</v>
      </c>
      <c r="B7" s="115" t="s"/>
      <c r="C7" s="117" t="s"/>
      <c r="D7" s="115" t="s"/>
      <c r="E7" s="115" t="s"/>
      <c r="F7" s="116" t="s"/>
      <c r="G7" s="116">
        <f>=2</f>
        <v>2</v>
      </c>
      <c r="H7" s="116" t="s"/>
      <c r="I7" s="116" t="s"/>
      <c r="J7" s="116" t="s"/>
      <c r="K7" s="116" t="s"/>
      <c r="L7" s="116">
        <f>=0.5</f>
        <v>0.5</v>
      </c>
      <c r="M7" s="116" t="s"/>
      <c r="N7" s="116" t="s"/>
      <c r="O7" s="116" t="s"/>
      <c r="P7" s="116">
        <f>=0.5</f>
        <v>0.5</v>
      </c>
      <c r="Q7" s="116" t="s"/>
      <c r="R7" s="116" t="s"/>
      <c r="S7" s="111" t="s"/>
      <c r="T7" s="111" t="s"/>
      <c r="U7" s="111" t="s"/>
      <c r="V7" s="111" t="s"/>
      <c r="W7" s="111" t="s"/>
      <c r="X7" s="111" t="s"/>
      <c r="Y7" s="111" t="s"/>
      <c r="Z7" s="111" t="s"/>
    </row>
    <row r="8" spans="1:26" ht="30" customHeight="true">
      <c r="A8" s="114">
        <v>45751</v>
      </c>
      <c r="B8" s="115" t="s"/>
      <c r="C8" s="115" t="s"/>
      <c r="D8" s="115" t="s"/>
      <c r="E8" s="115" t="s"/>
      <c r="F8" s="116" t="s"/>
      <c r="G8" s="116" t="s"/>
      <c r="H8" s="116" t="s"/>
      <c r="I8" s="116" t="s"/>
      <c r="J8" s="116" t="s"/>
      <c r="K8" s="116" t="s"/>
      <c r="L8" s="116" t="s"/>
      <c r="M8" s="116" t="s"/>
      <c r="N8" s="116" t="s"/>
      <c r="O8" s="116" t="s"/>
      <c r="P8" s="116" t="s"/>
      <c r="Q8" s="116" t="s"/>
      <c r="R8" s="116" t="s"/>
      <c r="S8" s="111" t="s"/>
      <c r="T8" s="111" t="s"/>
      <c r="U8" s="111" t="s"/>
      <c r="V8" s="111" t="s"/>
      <c r="W8" s="111" t="s"/>
      <c r="X8" s="111" t="s"/>
      <c r="Y8" s="111" t="s"/>
      <c r="Z8" s="111" t="s"/>
    </row>
    <row r="9" spans="1:26" ht="30" customHeight="true">
      <c r="A9" s="114">
        <v>45782</v>
      </c>
      <c r="B9" s="115" t="s"/>
      <c r="C9" s="115" t="s"/>
      <c r="D9" s="115" t="s"/>
      <c r="E9" s="115" t="s"/>
      <c r="F9" s="116" t="s"/>
      <c r="G9" s="116" t="s"/>
      <c r="H9" s="116" t="s"/>
      <c r="I9" s="116" t="s"/>
      <c r="J9" s="116" t="s"/>
      <c r="K9" s="116" t="s"/>
      <c r="L9" s="116" t="s"/>
      <c r="M9" s="116" t="s"/>
      <c r="N9" s="116" t="s"/>
      <c r="O9" s="116" t="s"/>
      <c r="P9" s="116" t="s"/>
      <c r="Q9" s="116" t="s"/>
      <c r="R9" s="116" t="s"/>
      <c r="S9" s="111" t="s"/>
      <c r="T9" s="111" t="s"/>
      <c r="U9" s="111" t="s"/>
      <c r="V9" s="111" t="s"/>
      <c r="W9" s="111" t="s"/>
      <c r="X9" s="111" t="s"/>
      <c r="Y9" s="111" t="s"/>
      <c r="Z9" s="111" t="s"/>
    </row>
    <row r="10" spans="1:26" ht="30" customHeight="true">
      <c r="A10" s="114">
        <v>45814</v>
      </c>
      <c r="B10" s="115" t="s"/>
      <c r="C10" s="115" t="s"/>
      <c r="D10" s="115" t="s"/>
      <c r="E10" s="115" t="s"/>
      <c r="F10" s="116" t="s"/>
      <c r="G10" s="116" t="s"/>
      <c r="H10" s="116" t="s"/>
      <c r="I10" s="116" t="s"/>
      <c r="J10" s="116" t="s"/>
      <c r="K10" s="116" t="s"/>
      <c r="L10" s="116" t="s"/>
      <c r="M10" s="116" t="s"/>
      <c r="N10" s="116" t="s"/>
      <c r="O10" s="116" t="s"/>
      <c r="P10" s="116" t="s"/>
      <c r="Q10" s="116" t="s"/>
      <c r="R10" s="116" t="s"/>
      <c r="S10" s="111" t="s"/>
      <c r="T10" s="111" t="s"/>
      <c r="U10" s="111" t="s"/>
      <c r="V10" s="111" t="s"/>
      <c r="W10" s="111" t="s"/>
      <c r="X10" s="111" t="s"/>
      <c r="Y10" s="111" t="s"/>
      <c r="Z10" s="111" t="s"/>
    </row>
    <row r="11" spans="1:26" ht="30" customHeight="true">
      <c r="A11" s="114">
        <v>45845</v>
      </c>
      <c r="B11" s="115" t="s"/>
      <c r="C11" s="115" t="s"/>
      <c r="D11" s="115" t="s"/>
      <c r="E11" s="115" t="s"/>
      <c r="F11" s="116" t="s"/>
      <c r="G11" s="116" t="s"/>
      <c r="H11" s="116" t="s"/>
      <c r="I11" s="116" t="s"/>
      <c r="J11" s="116" t="s"/>
      <c r="K11" s="116" t="s"/>
      <c r="L11" s="116" t="s"/>
      <c r="M11" s="116" t="s"/>
      <c r="N11" s="116" t="s"/>
      <c r="O11" s="116" t="s"/>
      <c r="P11" s="116" t="s"/>
      <c r="Q11" s="116" t="s"/>
      <c r="R11" s="116" t="s"/>
      <c r="S11" s="111" t="s"/>
      <c r="T11" s="111" t="s"/>
      <c r="U11" s="111" t="s"/>
      <c r="V11" s="111" t="s"/>
      <c r="W11" s="111" t="s"/>
      <c r="X11" s="111" t="s"/>
      <c r="Y11" s="111" t="s"/>
      <c r="Z11" s="111" t="s"/>
    </row>
    <row r="12" spans="1:26" ht="30" customHeight="true">
      <c r="A12" s="114">
        <v>45877</v>
      </c>
      <c r="B12" s="115" t="s"/>
      <c r="C12" s="115" t="s"/>
      <c r="D12" s="115" t="s"/>
      <c r="E12" s="115" t="s"/>
      <c r="F12" s="116" t="s"/>
      <c r="G12" s="116" t="s"/>
      <c r="H12" s="116" t="s"/>
      <c r="I12" s="116" t="s"/>
      <c r="J12" s="116" t="s"/>
      <c r="K12" s="116" t="s"/>
      <c r="L12" s="116" t="s"/>
      <c r="M12" s="116" t="s"/>
      <c r="N12" s="116" t="s"/>
      <c r="O12" s="116" t="s"/>
      <c r="P12" s="116" t="s"/>
      <c r="Q12" s="116" t="s"/>
      <c r="R12" s="116" t="s"/>
      <c r="S12" s="111" t="s"/>
      <c r="T12" s="111" t="s"/>
      <c r="U12" s="111" t="s"/>
      <c r="V12" s="111" t="s"/>
      <c r="W12" s="111" t="s"/>
      <c r="X12" s="111" t="s"/>
      <c r="Y12" s="111" t="s"/>
      <c r="Z12" s="111" t="s"/>
    </row>
    <row r="13" spans="1:26" ht="30" customHeight="true">
      <c r="A13" s="114">
        <v>45909</v>
      </c>
      <c r="B13" s="115" t="s"/>
      <c r="C13" s="115" t="s"/>
      <c r="D13" s="115" t="s"/>
      <c r="E13" s="115" t="s"/>
      <c r="F13" s="116" t="s"/>
      <c r="G13" s="116" t="s"/>
      <c r="H13" s="116" t="s"/>
      <c r="I13" s="116" t="s"/>
      <c r="J13" s="116" t="s"/>
      <c r="K13" s="116" t="s"/>
      <c r="L13" s="116" t="s"/>
      <c r="M13" s="116" t="s"/>
      <c r="N13" s="116" t="s"/>
      <c r="O13" s="116" t="s"/>
      <c r="P13" s="116" t="s"/>
      <c r="Q13" s="116" t="s"/>
      <c r="R13" s="116" t="s"/>
      <c r="S13" s="111" t="s"/>
      <c r="T13" s="111" t="s"/>
      <c r="U13" s="111" t="s"/>
      <c r="V13" s="111" t="s"/>
      <c r="W13" s="111" t="s"/>
      <c r="X13" s="111" t="s"/>
      <c r="Y13" s="111" t="s"/>
      <c r="Z13" s="111" t="s"/>
    </row>
    <row r="14" spans="1:26" ht="30" customHeight="true">
      <c r="A14" s="114">
        <v>45940</v>
      </c>
      <c r="B14" s="115" t="s"/>
      <c r="C14" s="115" t="s"/>
      <c r="D14" s="115" t="s"/>
      <c r="E14" s="115" t="s"/>
      <c r="F14" s="116" t="s"/>
      <c r="G14" s="116" t="s"/>
      <c r="H14" s="116" t="s"/>
      <c r="I14" s="116" t="s"/>
      <c r="J14" s="116" t="s"/>
      <c r="K14" s="116" t="s"/>
      <c r="L14" s="116" t="s"/>
      <c r="M14" s="116" t="s"/>
      <c r="N14" s="116" t="s"/>
      <c r="O14" s="116" t="s"/>
      <c r="P14" s="116" t="s"/>
      <c r="Q14" s="116" t="s"/>
      <c r="R14" s="116" t="s"/>
      <c r="S14" s="111" t="s"/>
      <c r="T14" s="111" t="s"/>
      <c r="U14" s="111" t="s"/>
      <c r="V14" s="111" t="s"/>
      <c r="W14" s="111" t="s"/>
      <c r="X14" s="111" t="s"/>
      <c r="Y14" s="111" t="s"/>
      <c r="Z14" s="111" t="s"/>
    </row>
    <row r="15" spans="1:26" ht="30" customHeight="true">
      <c r="A15" s="114">
        <v>45972</v>
      </c>
      <c r="B15" s="115" t="s"/>
      <c r="C15" s="115" t="s"/>
      <c r="D15" s="115" t="s"/>
      <c r="E15" s="115" t="s"/>
      <c r="F15" s="116" t="s"/>
      <c r="G15" s="116" t="s"/>
      <c r="H15" s="116" t="s"/>
      <c r="I15" s="116" t="s"/>
      <c r="J15" s="116" t="s"/>
      <c r="K15" s="116" t="s"/>
      <c r="L15" s="116" t="s"/>
      <c r="M15" s="116" t="s"/>
      <c r="N15" s="116" t="s"/>
      <c r="O15" s="116" t="s"/>
      <c r="P15" s="116" t="s"/>
      <c r="Q15" s="116" t="s"/>
      <c r="R15" s="116" t="s"/>
      <c r="S15" s="111" t="s"/>
      <c r="T15" s="111" t="s"/>
      <c r="U15" s="111" t="s"/>
      <c r="V15" s="111" t="s"/>
      <c r="W15" s="111" t="s"/>
      <c r="X15" s="111" t="s"/>
      <c r="Y15" s="111" t="s"/>
      <c r="Z15" s="111" t="s"/>
    </row>
    <row r="16" spans="1:26" ht="30" customHeight="true">
      <c r="A16" s="114">
        <v>46003</v>
      </c>
      <c r="B16" s="115" t="s"/>
      <c r="C16" s="115" t="s"/>
      <c r="D16" s="115" t="s"/>
      <c r="E16" s="115" t="s"/>
      <c r="F16" s="116" t="s"/>
      <c r="G16" s="116" t="s"/>
      <c r="H16" s="116" t="s"/>
      <c r="I16" s="116" t="s"/>
      <c r="J16" s="116" t="s"/>
      <c r="K16" s="116" t="s"/>
      <c r="L16" s="116" t="s"/>
      <c r="M16" s="116" t="s"/>
      <c r="N16" s="116" t="s"/>
      <c r="O16" s="116" t="s"/>
      <c r="P16" s="116" t="s"/>
      <c r="Q16" s="116" t="s"/>
      <c r="R16" s="116" t="s"/>
      <c r="S16" s="111" t="s"/>
      <c r="T16" s="111" t="s"/>
      <c r="U16" s="111" t="s"/>
      <c r="V16" s="111" t="s"/>
      <c r="W16" s="111" t="s"/>
      <c r="X16" s="111" t="s"/>
      <c r="Y16" s="111" t="s"/>
      <c r="Z16" s="111" t="s"/>
    </row>
    <row r="17" spans="1:26" ht="30" customHeight="true">
      <c r="A17" s="118" t="s"/>
      <c r="B17" s="119" t="s"/>
      <c r="C17" s="119" t="s"/>
      <c r="D17" s="119" t="s"/>
      <c r="E17" s="119" t="s"/>
      <c r="F17" s="118" t="s"/>
      <c r="G17" s="118" t="s"/>
      <c r="H17" s="120" t="s"/>
      <c r="I17" s="120" t="s"/>
      <c r="J17" s="120" t="s"/>
      <c r="K17" s="120" t="s"/>
      <c r="L17" s="120" t="s"/>
      <c r="M17" s="120" t="s"/>
      <c r="N17" s="120" t="s"/>
      <c r="O17" s="120" t="s"/>
      <c r="P17" s="120" t="s"/>
      <c r="Q17" s="120" t="s"/>
      <c r="R17" s="120" t="s"/>
      <c r="S17" s="120" t="s"/>
      <c r="T17" s="120" t="s"/>
      <c r="U17" s="120" t="s"/>
      <c r="V17" s="120" t="s"/>
      <c r="W17" s="120" t="s"/>
      <c r="X17" s="120" t="s"/>
      <c r="Y17" s="120" t="s"/>
      <c r="Z17" s="120" t="s"/>
    </row>
    <row r="18" spans="1:6">
      <c r="A18" s="121" t="s"/>
      <c r="B18" s="121" t="s"/>
      <c r="C18" s="121" t="s"/>
      <c r="D18" s="121" t="s"/>
      <c r="E18" s="121" t="s"/>
      <c r="F18" s="121" t="s"/>
    </row>
    <row r="19" spans="1:19">
      <c r="A19" s="121" t="s"/>
      <c r="B19" s="121" t="s"/>
      <c r="C19" s="121" t="s"/>
      <c r="D19" s="121" t="s"/>
      <c r="E19" s="121" t="s"/>
      <c r="F19" s="121" t="s"/>
      <c r="G19" s="121" t="s"/>
      <c r="S19" s="122" t="s"/>
    </row>
    <row r="20" spans="1:26">
      <c r="A20" s="121" t="s"/>
      <c r="B20" s="121" t="s"/>
      <c r="C20" s="121" t="s"/>
      <c r="D20" s="121" t="s"/>
      <c r="E20" s="121" t="s"/>
      <c r="F20" s="121" t="s"/>
      <c r="G20" s="121" t="s"/>
      <c r="H20" s="123" t="s"/>
      <c r="I20" s="123" t="s"/>
      <c r="J20" s="123" t="s"/>
      <c r="K20" s="123" t="s"/>
      <c r="L20" s="123" t="s"/>
      <c r="M20" s="123" t="s"/>
      <c r="N20" s="123" t="s"/>
      <c r="O20" s="123" t="s"/>
      <c r="P20" s="123" t="s"/>
      <c r="Q20" s="123" t="s"/>
      <c r="R20" s="123" t="s"/>
      <c r="S20" s="123" t="s"/>
      <c r="T20" s="123" t="s"/>
      <c r="U20" s="123" t="s"/>
      <c r="V20" s="123" t="s"/>
      <c r="W20" s="123" t="s"/>
      <c r="X20" s="123" t="s"/>
      <c r="Y20" s="123" t="s"/>
      <c r="Z20" s="123" t="s"/>
    </row>
    <row r="21" spans="1:26">
      <c r="A21" s="121" t="s"/>
      <c r="B21" s="121" t="s"/>
      <c r="C21" s="121" t="s"/>
      <c r="D21" s="121" t="s"/>
      <c r="E21" s="121" t="s"/>
      <c r="F21" s="121" t="s"/>
      <c r="G21" s="121" t="s"/>
      <c r="H21" s="123" t="s"/>
      <c r="I21" s="123" t="s"/>
      <c r="J21" s="123" t="s"/>
      <c r="K21" s="123" t="s"/>
      <c r="L21" s="123" t="s"/>
      <c r="M21" s="123" t="s"/>
      <c r="N21" s="123" t="s"/>
      <c r="O21" s="123" t="s"/>
      <c r="P21" s="123" t="s"/>
      <c r="Q21" s="123" t="s"/>
      <c r="R21" s="123" t="s"/>
      <c r="S21" s="124" t="s"/>
      <c r="T21" s="124" t="s"/>
      <c r="U21" s="124" t="s"/>
      <c r="V21" s="124" t="s"/>
      <c r="W21" s="124" t="s"/>
      <c r="X21" s="124" t="s"/>
      <c r="Y21" s="124" t="s"/>
      <c r="Z21" s="124" t="s"/>
    </row>
    <row r="22" spans="1:26">
      <c r="A22" s="121" t="s"/>
      <c r="B22" s="121" t="s"/>
      <c r="C22" s="121" t="s"/>
      <c r="D22" s="121" t="s"/>
      <c r="E22" s="121" t="s"/>
      <c r="F22" s="121" t="s"/>
      <c r="G22" s="121" t="s"/>
      <c r="H22" s="123" t="s"/>
      <c r="I22" s="123" t="s"/>
      <c r="J22" s="123" t="s"/>
      <c r="K22" s="123" t="s"/>
      <c r="L22" s="123" t="s"/>
      <c r="M22" s="123" t="s"/>
      <c r="N22" s="123" t="s"/>
      <c r="O22" s="123" t="s"/>
      <c r="P22" s="123" t="s"/>
      <c r="Q22" s="123" t="s"/>
      <c r="R22" s="123" t="s"/>
      <c r="S22" s="124" t="s"/>
      <c r="T22" s="124" t="s"/>
      <c r="U22" s="124" t="s"/>
      <c r="V22" s="124" t="s"/>
      <c r="W22" s="124" t="s"/>
      <c r="X22" s="124" t="s"/>
      <c r="Y22" s="124" t="s"/>
      <c r="Z22" s="124" t="s"/>
    </row>
    <row r="23" spans="1:26">
      <c r="A23" s="121" t="s"/>
      <c r="B23" s="121" t="s"/>
      <c r="C23" s="121" t="s"/>
      <c r="D23" s="121" t="s"/>
      <c r="E23" s="121" t="s"/>
      <c r="F23" s="121" t="s"/>
      <c r="G23" s="121" t="s"/>
      <c r="H23" s="123" t="s"/>
      <c r="I23" s="123" t="s"/>
      <c r="J23" s="123" t="s"/>
      <c r="K23" s="123" t="s"/>
      <c r="L23" s="123" t="s"/>
      <c r="M23" s="123" t="s"/>
      <c r="N23" s="123" t="s"/>
      <c r="O23" s="123" t="s"/>
      <c r="P23" s="123" t="s"/>
      <c r="Q23" s="123" t="s"/>
      <c r="R23" s="123" t="s"/>
      <c r="S23" s="124" t="s"/>
      <c r="T23" s="124" t="s"/>
      <c r="U23" s="124" t="s"/>
      <c r="V23" s="124" t="s"/>
      <c r="W23" s="124" t="s"/>
      <c r="X23" s="124" t="s"/>
      <c r="Y23" s="124" t="s"/>
      <c r="Z23" s="124" t="s"/>
    </row>
    <row r="24" spans="1:26">
      <c r="A24" s="121" t="s"/>
      <c r="B24" s="121" t="s"/>
      <c r="C24" s="121" t="s"/>
      <c r="D24" s="121" t="s"/>
      <c r="E24" s="121" t="s"/>
      <c r="F24" s="121" t="s"/>
      <c r="G24" s="121" t="s"/>
      <c r="H24" s="123" t="s"/>
      <c r="I24" s="123" t="s"/>
      <c r="J24" s="123" t="s"/>
      <c r="K24" s="123" t="s"/>
      <c r="L24" s="123" t="s"/>
      <c r="M24" s="123" t="s"/>
      <c r="N24" s="123" t="s"/>
      <c r="O24" s="123" t="s"/>
      <c r="P24" s="123" t="s"/>
      <c r="Q24" s="123" t="s"/>
      <c r="R24" s="123" t="s"/>
      <c r="S24" s="124" t="s"/>
      <c r="T24" s="124" t="s"/>
      <c r="U24" s="124" t="s"/>
      <c r="V24" s="124" t="s"/>
      <c r="W24" s="124" t="s"/>
      <c r="X24" s="124" t="s"/>
      <c r="Y24" s="124" t="s"/>
      <c r="Z24" s="124" t="s"/>
    </row>
    <row r="25" spans="1:26">
      <c r="A25" s="121" t="s"/>
      <c r="B25" s="121" t="s"/>
      <c r="C25" s="121" t="s"/>
      <c r="D25" s="121" t="s"/>
      <c r="E25" s="121" t="s"/>
      <c r="F25" s="121" t="s"/>
      <c r="G25" s="121" t="s"/>
      <c r="H25" s="123" t="s"/>
      <c r="I25" s="123" t="s"/>
      <c r="J25" s="123" t="s"/>
      <c r="K25" s="123" t="s"/>
      <c r="L25" s="123" t="s"/>
      <c r="M25" s="123" t="s"/>
      <c r="N25" s="123" t="s"/>
      <c r="O25" s="123" t="s"/>
      <c r="P25" s="123" t="s"/>
      <c r="Q25" s="123" t="s"/>
      <c r="R25" s="123" t="s"/>
      <c r="S25" s="124" t="s"/>
      <c r="T25" s="124" t="s"/>
      <c r="U25" s="124" t="s"/>
      <c r="V25" s="124" t="s"/>
      <c r="W25" s="124" t="s"/>
      <c r="X25" s="124" t="s"/>
      <c r="Y25" s="124" t="s"/>
      <c r="Z25" s="124" t="s"/>
    </row>
    <row r="26" spans="1:26">
      <c r="A26" s="121" t="s"/>
      <c r="B26" s="121" t="s"/>
      <c r="C26" s="121" t="s"/>
      <c r="D26" s="121" t="s"/>
      <c r="E26" s="121" t="s"/>
      <c r="F26" s="121" t="s"/>
      <c r="G26" s="121" t="s"/>
      <c r="H26" s="123" t="s"/>
      <c r="I26" s="123" t="s"/>
      <c r="J26" s="123" t="s"/>
      <c r="K26" s="123" t="s"/>
      <c r="L26" s="123" t="s"/>
      <c r="M26" s="123" t="s"/>
      <c r="N26" s="123" t="s"/>
      <c r="O26" s="123" t="s"/>
      <c r="P26" s="123" t="s"/>
      <c r="Q26" s="123" t="s"/>
      <c r="R26" s="123" t="s"/>
      <c r="S26" s="124" t="s"/>
      <c r="T26" s="124" t="s"/>
      <c r="U26" s="124" t="s"/>
      <c r="V26" s="124" t="s"/>
      <c r="W26" s="124" t="s"/>
      <c r="X26" s="124" t="s"/>
      <c r="Y26" s="124" t="s"/>
      <c r="Z26" s="124" t="s"/>
    </row>
    <row r="27" spans="1:26">
      <c r="A27" s="121" t="s"/>
      <c r="B27" s="121" t="s"/>
      <c r="C27" s="121" t="s"/>
      <c r="D27" s="121" t="s"/>
      <c r="E27" s="121" t="s"/>
      <c r="F27" s="121" t="s"/>
      <c r="G27" s="121" t="s"/>
      <c r="H27" s="123" t="s"/>
      <c r="I27" s="123" t="s"/>
      <c r="J27" s="123" t="s"/>
      <c r="K27" s="123" t="s"/>
      <c r="L27" s="123" t="s"/>
      <c r="M27" s="123" t="s"/>
      <c r="N27" s="123" t="s"/>
      <c r="O27" s="123" t="s"/>
      <c r="P27" s="123" t="s"/>
      <c r="Q27" s="123" t="s"/>
      <c r="R27" s="123" t="s"/>
      <c r="S27" s="124" t="s"/>
      <c r="T27" s="124" t="s"/>
      <c r="U27" s="124" t="s"/>
      <c r="V27" s="124" t="s"/>
      <c r="W27" s="124" t="s"/>
      <c r="X27" s="124" t="s"/>
      <c r="Y27" s="124" t="s"/>
      <c r="Z27" s="124" t="s"/>
    </row>
    <row r="28" spans="1:26">
      <c r="A28" s="121" t="s"/>
      <c r="B28" s="121" t="s"/>
      <c r="C28" s="121" t="s"/>
      <c r="D28" s="121" t="s"/>
      <c r="E28" s="121" t="s"/>
      <c r="F28" s="121" t="s"/>
      <c r="G28" s="121" t="s"/>
      <c r="H28" s="123" t="s"/>
      <c r="I28" s="123" t="s"/>
      <c r="J28" s="123" t="s"/>
      <c r="K28" s="123" t="s"/>
      <c r="L28" s="123" t="s"/>
      <c r="M28" s="123" t="s"/>
      <c r="N28" s="123" t="s"/>
      <c r="O28" s="123" t="s"/>
      <c r="P28" s="123" t="s"/>
      <c r="Q28" s="123" t="s"/>
      <c r="R28" s="123" t="s"/>
      <c r="S28" s="124" t="s"/>
      <c r="T28" s="124" t="s"/>
      <c r="U28" s="124" t="s"/>
      <c r="V28" s="124" t="s"/>
      <c r="W28" s="124" t="s"/>
      <c r="X28" s="124" t="s"/>
      <c r="Y28" s="124" t="s"/>
      <c r="Z28" s="124" t="s"/>
    </row>
    <row r="29" spans="1:26">
      <c r="A29" s="121" t="s"/>
      <c r="B29" s="121" t="s"/>
      <c r="C29" s="121" t="s"/>
      <c r="D29" s="121" t="s"/>
      <c r="E29" s="121" t="s"/>
      <c r="F29" s="121" t="s"/>
      <c r="G29" s="121" t="s"/>
      <c r="H29" s="123" t="s"/>
      <c r="I29" s="123" t="s"/>
      <c r="J29" s="123" t="s"/>
      <c r="K29" s="123" t="s"/>
      <c r="L29" s="123" t="s"/>
      <c r="M29" s="123" t="s"/>
      <c r="N29" s="123" t="s"/>
      <c r="O29" s="123" t="s"/>
      <c r="P29" s="123" t="s"/>
      <c r="Q29" s="123" t="s"/>
      <c r="R29" s="123" t="s"/>
      <c r="S29" s="124" t="s"/>
      <c r="T29" s="124" t="s"/>
      <c r="U29" s="124" t="s"/>
      <c r="V29" s="124" t="s"/>
      <c r="W29" s="124" t="s"/>
      <c r="X29" s="124" t="s"/>
      <c r="Y29" s="124" t="s"/>
      <c r="Z29" s="124" t="s"/>
    </row>
    <row r="30" spans="1:26">
      <c r="A30" s="121" t="s"/>
      <c r="B30" s="121" t="s"/>
      <c r="C30" s="121" t="s"/>
      <c r="D30" s="121" t="s"/>
      <c r="E30" s="121" t="s"/>
      <c r="F30" s="121" t="s"/>
      <c r="G30" s="121" t="s"/>
      <c r="H30" s="123" t="s"/>
      <c r="I30" s="123" t="s"/>
      <c r="J30" s="123" t="s"/>
      <c r="K30" s="123" t="s"/>
      <c r="L30" s="123" t="s"/>
      <c r="M30" s="123" t="s"/>
      <c r="N30" s="123" t="s"/>
      <c r="O30" s="123" t="s"/>
      <c r="P30" s="123" t="s"/>
      <c r="Q30" s="123" t="s"/>
      <c r="R30" s="123" t="s"/>
      <c r="S30" s="124" t="s"/>
      <c r="T30" s="124" t="s"/>
      <c r="U30" s="124" t="s"/>
      <c r="V30" s="124" t="s"/>
      <c r="W30" s="124" t="s"/>
      <c r="X30" s="124" t="s"/>
      <c r="Y30" s="124" t="s"/>
      <c r="Z30" s="124" t="s"/>
    </row>
    <row r="31" spans="1:26">
      <c r="A31" s="121" t="s"/>
      <c r="B31" s="121" t="s"/>
      <c r="C31" s="121" t="s"/>
      <c r="D31" s="121" t="s"/>
      <c r="E31" s="121" t="s"/>
      <c r="F31" s="121" t="s"/>
      <c r="G31" s="121" t="s"/>
      <c r="H31" s="123" t="s"/>
      <c r="I31" s="123" t="s"/>
      <c r="J31" s="123" t="s"/>
      <c r="K31" s="123" t="s"/>
      <c r="L31" s="123" t="s"/>
      <c r="M31" s="123" t="s"/>
      <c r="N31" s="123" t="s"/>
      <c r="O31" s="123" t="s"/>
      <c r="P31" s="123" t="s"/>
      <c r="Q31" s="123" t="s"/>
      <c r="R31" s="123" t="s"/>
      <c r="S31" s="124" t="s"/>
      <c r="T31" s="124" t="s"/>
      <c r="U31" s="124" t="s"/>
      <c r="V31" s="124" t="s"/>
      <c r="W31" s="124" t="s"/>
      <c r="X31" s="124" t="s"/>
      <c r="Y31" s="124" t="s"/>
      <c r="Z31" s="124" t="s"/>
    </row>
    <row r="32" spans="1:26">
      <c r="A32" s="121" t="s"/>
      <c r="B32" s="121" t="s"/>
      <c r="C32" s="121" t="s"/>
      <c r="D32" s="121" t="s"/>
      <c r="E32" s="121" t="s"/>
      <c r="F32" s="121" t="s"/>
      <c r="G32" s="121" t="s"/>
      <c r="H32" s="123" t="s"/>
      <c r="I32" s="123" t="s"/>
      <c r="J32" s="123" t="s"/>
      <c r="K32" s="123" t="s"/>
      <c r="L32" s="123" t="s"/>
      <c r="M32" s="123" t="s"/>
      <c r="N32" s="123" t="s"/>
      <c r="O32" s="123" t="s"/>
      <c r="P32" s="123" t="s"/>
      <c r="Q32" s="123" t="s"/>
      <c r="R32" s="123" t="s"/>
      <c r="S32" s="124" t="s"/>
      <c r="T32" s="124" t="s"/>
      <c r="U32" s="124" t="s"/>
      <c r="V32" s="124" t="s"/>
      <c r="W32" s="124" t="s"/>
      <c r="X32" s="124" t="s"/>
      <c r="Y32" s="124" t="s"/>
      <c r="Z32" s="124" t="s"/>
    </row>
    <row r="33" spans="1:26">
      <c r="A33" s="121" t="s"/>
      <c r="B33" s="121" t="s"/>
      <c r="C33" s="121" t="s"/>
      <c r="D33" s="121" t="s"/>
      <c r="E33" s="121" t="s"/>
      <c r="F33" s="121" t="s"/>
      <c r="G33" s="121" t="s"/>
      <c r="H33" s="123" t="s"/>
      <c r="I33" s="123" t="s"/>
      <c r="J33" s="123" t="s"/>
      <c r="K33" s="123" t="s"/>
      <c r="L33" s="123" t="s"/>
      <c r="M33" s="123" t="s"/>
      <c r="N33" s="123" t="s"/>
      <c r="O33" s="123" t="s"/>
      <c r="P33" s="123" t="s"/>
      <c r="Q33" s="123" t="s"/>
      <c r="R33" s="123" t="s"/>
      <c r="S33" s="124" t="s"/>
      <c r="T33" s="124" t="s"/>
      <c r="U33" s="124" t="s"/>
      <c r="V33" s="124" t="s"/>
      <c r="W33" s="124" t="s"/>
      <c r="X33" s="124" t="s"/>
      <c r="Y33" s="124" t="s"/>
      <c r="Z33" s="124" t="s"/>
    </row>
    <row r="34" spans="1:26">
      <c r="A34" s="121" t="s"/>
      <c r="B34" s="121" t="s"/>
      <c r="C34" s="121" t="s"/>
      <c r="D34" s="121" t="s"/>
      <c r="E34" s="121" t="s"/>
      <c r="F34" s="121" t="s"/>
      <c r="G34" s="121" t="s"/>
      <c r="H34" s="123" t="s"/>
      <c r="I34" s="123" t="s"/>
      <c r="J34" s="123" t="s"/>
      <c r="K34" s="123" t="s"/>
      <c r="L34" s="123" t="s"/>
      <c r="M34" s="123" t="s"/>
      <c r="N34" s="123" t="s"/>
      <c r="O34" s="123" t="s"/>
      <c r="P34" s="123" t="s"/>
      <c r="Q34" s="123" t="s"/>
      <c r="R34" s="123" t="s"/>
      <c r="S34" s="124" t="s"/>
      <c r="T34" s="124" t="s"/>
      <c r="U34" s="124" t="s"/>
      <c r="V34" s="124" t="s"/>
      <c r="W34" s="124" t="s"/>
      <c r="X34" s="124" t="s"/>
      <c r="Y34" s="124" t="s"/>
      <c r="Z34" s="124" t="s"/>
    </row>
    <row r="35" spans="1:26">
      <c r="A35" s="121" t="s"/>
      <c r="B35" s="121" t="s"/>
      <c r="C35" s="121" t="s"/>
      <c r="D35" s="121" t="s"/>
      <c r="E35" s="121" t="s"/>
      <c r="F35" s="121" t="s"/>
      <c r="G35" s="121" t="s"/>
      <c r="H35" s="123" t="s"/>
      <c r="I35" s="123" t="s"/>
      <c r="J35" s="123" t="s"/>
      <c r="K35" s="123" t="s"/>
      <c r="L35" s="123" t="s"/>
      <c r="M35" s="123" t="s"/>
      <c r="N35" s="123" t="s"/>
      <c r="O35" s="123" t="s"/>
      <c r="P35" s="123" t="s"/>
      <c r="Q35" s="123" t="s"/>
      <c r="R35" s="123" t="s"/>
      <c r="S35" s="124" t="s"/>
      <c r="T35" s="124" t="s"/>
      <c r="U35" s="124" t="s"/>
      <c r="V35" s="124" t="s"/>
      <c r="W35" s="124" t="s"/>
      <c r="X35" s="124" t="s"/>
      <c r="Y35" s="124" t="s"/>
      <c r="Z35" s="124" t="s"/>
    </row>
    <row r="36" spans="1:26">
      <c r="A36" s="121" t="s"/>
      <c r="B36" s="121" t="s"/>
      <c r="C36" s="121" t="s"/>
      <c r="D36" s="121" t="s"/>
      <c r="E36" s="121" t="s"/>
      <c r="F36" s="121" t="s"/>
      <c r="G36" s="121" t="s"/>
      <c r="H36" s="123" t="s"/>
      <c r="I36" s="123" t="s"/>
      <c r="J36" s="123" t="s"/>
      <c r="K36" s="123" t="s"/>
      <c r="L36" s="123" t="s"/>
      <c r="M36" s="123" t="s"/>
      <c r="N36" s="123" t="s"/>
      <c r="O36" s="123" t="s"/>
      <c r="P36" s="123" t="s"/>
      <c r="Q36" s="123" t="s"/>
      <c r="R36" s="123" t="s"/>
      <c r="S36" s="124" t="s"/>
      <c r="T36" s="124" t="s"/>
      <c r="U36" s="124" t="s"/>
      <c r="V36" s="124" t="s"/>
      <c r="W36" s="124" t="s"/>
      <c r="X36" s="124" t="s"/>
      <c r="Y36" s="124" t="s"/>
      <c r="Z36" s="124" t="s"/>
    </row>
    <row r="37" spans="1:26">
      <c r="A37" s="121" t="s"/>
      <c r="B37" s="121" t="s"/>
      <c r="C37" s="121" t="s"/>
      <c r="D37" s="121" t="s"/>
      <c r="E37" s="121" t="s"/>
      <c r="F37" s="121" t="s"/>
      <c r="G37" s="121" t="s"/>
      <c r="H37" s="123" t="s"/>
      <c r="I37" s="123" t="s"/>
      <c r="J37" s="123" t="s"/>
      <c r="K37" s="123" t="s"/>
      <c r="L37" s="123" t="s"/>
      <c r="M37" s="123" t="s"/>
      <c r="N37" s="123" t="s"/>
      <c r="O37" s="123" t="s"/>
      <c r="P37" s="123" t="s"/>
      <c r="Q37" s="123" t="s"/>
      <c r="R37" s="123" t="s"/>
      <c r="S37" s="124" t="s"/>
      <c r="T37" s="124" t="s"/>
      <c r="U37" s="124" t="s"/>
      <c r="V37" s="124" t="s"/>
      <c r="W37" s="124" t="s"/>
      <c r="X37" s="124" t="s"/>
      <c r="Y37" s="124" t="s"/>
      <c r="Z37" s="124" t="s"/>
    </row>
    <row r="38" spans="1:26">
      <c r="A38" s="121" t="s"/>
      <c r="B38" s="121" t="s"/>
      <c r="C38" s="121" t="s"/>
      <c r="D38" s="121" t="s"/>
      <c r="E38" s="121" t="s"/>
      <c r="F38" s="121" t="s"/>
      <c r="G38" s="121" t="s"/>
      <c r="H38" s="123" t="s"/>
      <c r="I38" s="123" t="s"/>
      <c r="J38" s="123" t="s"/>
      <c r="K38" s="123" t="s"/>
      <c r="L38" s="123" t="s"/>
      <c r="M38" s="123" t="s"/>
      <c r="N38" s="123" t="s"/>
      <c r="O38" s="123" t="s"/>
      <c r="P38" s="123" t="s"/>
      <c r="Q38" s="123" t="s"/>
      <c r="R38" s="123" t="s"/>
      <c r="S38" s="124" t="s"/>
      <c r="T38" s="124" t="s"/>
      <c r="U38" s="124" t="s"/>
      <c r="V38" s="124" t="s"/>
      <c r="W38" s="124" t="s"/>
      <c r="X38" s="124" t="s"/>
      <c r="Y38" s="124" t="s"/>
      <c r="Z38" s="124" t="s"/>
    </row>
    <row r="39" spans="1:26">
      <c r="A39" s="121" t="s"/>
      <c r="B39" s="121" t="s"/>
      <c r="C39" s="121" t="s"/>
      <c r="D39" s="121" t="s"/>
      <c r="E39" s="121" t="s"/>
      <c r="F39" s="121" t="s"/>
      <c r="G39" s="121" t="s"/>
      <c r="H39" s="123" t="s"/>
      <c r="I39" s="123" t="s"/>
      <c r="J39" s="123" t="s"/>
      <c r="K39" s="123" t="s"/>
      <c r="L39" s="123" t="s"/>
      <c r="M39" s="123" t="s"/>
      <c r="N39" s="123" t="s"/>
      <c r="O39" s="123" t="s"/>
      <c r="P39" s="123" t="s"/>
      <c r="Q39" s="123" t="s"/>
      <c r="R39" s="123" t="s"/>
      <c r="S39" s="124" t="s"/>
      <c r="T39" s="124" t="s"/>
      <c r="U39" s="124" t="s"/>
      <c r="V39" s="124" t="s"/>
      <c r="W39" s="124" t="s"/>
      <c r="X39" s="124" t="s"/>
      <c r="Y39" s="124" t="s"/>
      <c r="Z39" s="124" t="s"/>
    </row>
    <row r="40" spans="1:26">
      <c r="A40" s="121" t="s"/>
      <c r="B40" s="121" t="s"/>
      <c r="C40" s="121" t="s"/>
      <c r="D40" s="121" t="s"/>
      <c r="E40" s="121" t="s"/>
      <c r="F40" s="121" t="s"/>
      <c r="G40" s="121" t="s"/>
      <c r="H40" s="123" t="s"/>
      <c r="I40" s="123" t="s"/>
      <c r="J40" s="123" t="s"/>
      <c r="K40" s="123" t="s"/>
      <c r="L40" s="123" t="s"/>
      <c r="M40" s="123" t="s"/>
      <c r="N40" s="123" t="s"/>
      <c r="O40" s="123" t="s"/>
      <c r="P40" s="123" t="s"/>
      <c r="Q40" s="123" t="s"/>
      <c r="R40" s="123" t="s"/>
      <c r="S40" s="124" t="s"/>
      <c r="T40" s="124" t="s"/>
      <c r="U40" s="124" t="s"/>
      <c r="V40" s="124" t="s"/>
      <c r="W40" s="124" t="s"/>
      <c r="X40" s="124" t="s"/>
      <c r="Y40" s="124" t="s"/>
      <c r="Z40" s="124" t="s"/>
    </row>
    <row r="41" spans="1:26">
      <c r="A41" s="121" t="s"/>
      <c r="B41" s="121" t="s"/>
      <c r="C41" s="121" t="s"/>
      <c r="D41" s="121" t="s"/>
      <c r="E41" s="121" t="s"/>
      <c r="F41" s="121" t="s"/>
      <c r="G41" s="121" t="s"/>
      <c r="H41" s="123" t="s"/>
      <c r="I41" s="123" t="s"/>
      <c r="J41" s="123" t="s"/>
      <c r="K41" s="123" t="s"/>
      <c r="L41" s="123" t="s"/>
      <c r="M41" s="123" t="s"/>
      <c r="N41" s="123" t="s"/>
      <c r="O41" s="123" t="s"/>
      <c r="P41" s="123" t="s"/>
      <c r="Q41" s="123" t="s"/>
      <c r="R41" s="123" t="s"/>
      <c r="S41" s="124" t="s"/>
      <c r="T41" s="124" t="s"/>
      <c r="U41" s="124" t="s"/>
      <c r="V41" s="124" t="s"/>
      <c r="W41" s="124" t="s"/>
      <c r="X41" s="124" t="s"/>
      <c r="Y41" s="124" t="s"/>
      <c r="Z41" s="124" t="s"/>
    </row>
    <row r="42" spans="1:26">
      <c r="A42" s="121" t="s"/>
      <c r="B42" s="121" t="s"/>
      <c r="C42" s="121" t="s"/>
      <c r="D42" s="121" t="s"/>
      <c r="E42" s="121" t="s"/>
      <c r="F42" s="121" t="s"/>
      <c r="G42" s="121" t="s"/>
      <c r="H42" s="123" t="s"/>
      <c r="I42" s="123" t="s"/>
      <c r="J42" s="123" t="s"/>
      <c r="K42" s="123" t="s"/>
      <c r="L42" s="123" t="s"/>
      <c r="M42" s="123" t="s"/>
      <c r="N42" s="123" t="s"/>
      <c r="O42" s="123" t="s"/>
      <c r="P42" s="123" t="s"/>
      <c r="Q42" s="123" t="s"/>
      <c r="R42" s="123" t="s"/>
      <c r="S42" s="124" t="s"/>
      <c r="T42" s="124" t="s"/>
      <c r="U42" s="124" t="s"/>
      <c r="V42" s="124" t="s"/>
      <c r="W42" s="124" t="s"/>
      <c r="X42" s="124" t="s"/>
      <c r="Y42" s="124" t="s"/>
      <c r="Z42" s="124" t="s"/>
    </row>
    <row r="43" spans="1:26">
      <c r="A43" s="121" t="s"/>
      <c r="B43" s="121" t="s"/>
      <c r="C43" s="121" t="s"/>
      <c r="D43" s="121" t="s"/>
      <c r="E43" s="121" t="s"/>
      <c r="F43" s="121" t="s"/>
      <c r="G43" s="121" t="s"/>
      <c r="H43" s="123" t="s"/>
      <c r="I43" s="123" t="s"/>
      <c r="J43" s="123" t="s"/>
      <c r="K43" s="123" t="s"/>
      <c r="L43" s="123" t="s"/>
      <c r="M43" s="123" t="s"/>
      <c r="N43" s="123" t="s"/>
      <c r="O43" s="123" t="s"/>
      <c r="P43" s="123" t="s"/>
      <c r="Q43" s="123" t="s"/>
      <c r="R43" s="123" t="s"/>
      <c r="S43" s="124" t="s"/>
      <c r="T43" s="124" t="s"/>
      <c r="U43" s="124" t="s"/>
      <c r="V43" s="124" t="s"/>
      <c r="W43" s="124" t="s"/>
      <c r="X43" s="124" t="s"/>
      <c r="Y43" s="124" t="s"/>
      <c r="Z43" s="124" t="s"/>
    </row>
    <row r="44" spans="1:26">
      <c r="A44" s="121" t="s"/>
      <c r="B44" s="121" t="s"/>
      <c r="C44" s="121" t="s"/>
      <c r="D44" s="121" t="s"/>
      <c r="E44" s="121" t="s"/>
      <c r="F44" s="121" t="s"/>
      <c r="G44" s="121" t="s"/>
      <c r="H44" s="123" t="s"/>
      <c r="I44" s="123" t="s"/>
      <c r="J44" s="123" t="s"/>
      <c r="K44" s="123" t="s"/>
      <c r="L44" s="123" t="s"/>
      <c r="M44" s="123" t="s"/>
      <c r="N44" s="123" t="s"/>
      <c r="O44" s="123" t="s"/>
      <c r="P44" s="123" t="s"/>
      <c r="Q44" s="123" t="s"/>
      <c r="R44" s="123" t="s"/>
      <c r="S44" s="124" t="s"/>
      <c r="T44" s="124" t="s"/>
      <c r="U44" s="124" t="s"/>
      <c r="V44" s="124" t="s"/>
      <c r="W44" s="124" t="s"/>
      <c r="X44" s="124" t="s"/>
      <c r="Y44" s="124" t="s"/>
      <c r="Z44" s="124" t="s"/>
    </row>
    <row r="45" spans="1:26">
      <c r="A45" s="121" t="s"/>
      <c r="B45" s="121" t="s"/>
      <c r="C45" s="121" t="s"/>
      <c r="D45" s="121" t="s"/>
      <c r="E45" s="121" t="s"/>
      <c r="F45" s="121" t="s"/>
      <c r="G45" s="121" t="s"/>
      <c r="H45" s="123" t="s"/>
      <c r="I45" s="123" t="s"/>
      <c r="J45" s="123" t="s"/>
      <c r="K45" s="123" t="s"/>
      <c r="L45" s="123" t="s"/>
      <c r="M45" s="123" t="s"/>
      <c r="N45" s="123" t="s"/>
      <c r="O45" s="123" t="s"/>
      <c r="P45" s="123" t="s"/>
      <c r="Q45" s="123" t="s"/>
      <c r="R45" s="123" t="s"/>
      <c r="S45" s="124" t="s"/>
      <c r="T45" s="124" t="s"/>
      <c r="U45" s="124" t="s"/>
      <c r="V45" s="124" t="s"/>
      <c r="W45" s="124" t="s"/>
      <c r="X45" s="124" t="s"/>
      <c r="Y45" s="124" t="s"/>
      <c r="Z45" s="124" t="s"/>
    </row>
    <row r="46" spans="1:26">
      <c r="A46" s="121" t="s"/>
      <c r="B46" s="121" t="s"/>
      <c r="C46" s="121" t="s"/>
      <c r="D46" s="121" t="s"/>
      <c r="E46" s="121" t="s"/>
      <c r="F46" s="121" t="s"/>
      <c r="G46" s="121" t="s"/>
      <c r="H46" s="123" t="s"/>
      <c r="I46" s="123" t="s"/>
      <c r="J46" s="123" t="s"/>
      <c r="K46" s="123" t="s"/>
      <c r="L46" s="123" t="s"/>
      <c r="M46" s="123" t="s"/>
      <c r="N46" s="123" t="s"/>
      <c r="O46" s="123" t="s"/>
      <c r="P46" s="123" t="s"/>
      <c r="Q46" s="123" t="s"/>
      <c r="R46" s="123" t="s"/>
      <c r="S46" s="124" t="s"/>
      <c r="T46" s="124" t="s"/>
      <c r="U46" s="124" t="s"/>
      <c r="V46" s="124" t="s"/>
      <c r="W46" s="124" t="s"/>
      <c r="X46" s="124" t="s"/>
      <c r="Y46" s="124" t="s"/>
      <c r="Z46" s="124" t="s"/>
    </row>
    <row r="47" spans="1:26">
      <c r="A47" s="121" t="s"/>
      <c r="B47" s="121" t="s"/>
      <c r="C47" s="121" t="s"/>
      <c r="D47" s="121" t="s"/>
      <c r="E47" s="121" t="s"/>
      <c r="F47" s="121" t="s"/>
      <c r="G47" s="121" t="s"/>
      <c r="H47" s="123" t="s"/>
      <c r="I47" s="123" t="s"/>
      <c r="J47" s="123" t="s"/>
      <c r="K47" s="123" t="s"/>
      <c r="L47" s="123" t="s"/>
      <c r="M47" s="123" t="s"/>
      <c r="N47" s="123" t="s"/>
      <c r="O47" s="123" t="s"/>
      <c r="P47" s="123" t="s"/>
      <c r="Q47" s="123" t="s"/>
      <c r="R47" s="123" t="s"/>
      <c r="S47" s="124" t="s"/>
      <c r="T47" s="124" t="s"/>
      <c r="U47" s="124" t="s"/>
      <c r="V47" s="124" t="s"/>
      <c r="W47" s="124" t="s"/>
      <c r="X47" s="124" t="s"/>
      <c r="Y47" s="124" t="s"/>
      <c r="Z47" s="124" t="s"/>
    </row>
    <row r="48" spans="1:26">
      <c r="A48" s="121" t="s"/>
      <c r="B48" s="121" t="s"/>
      <c r="C48" s="121" t="s"/>
      <c r="D48" s="121" t="s"/>
      <c r="E48" s="121" t="s"/>
      <c r="F48" s="121" t="s"/>
      <c r="G48" s="121" t="s"/>
      <c r="H48" s="123" t="s"/>
      <c r="I48" s="123" t="s"/>
      <c r="J48" s="123" t="s"/>
      <c r="K48" s="123" t="s"/>
      <c r="L48" s="123" t="s"/>
      <c r="M48" s="123" t="s"/>
      <c r="N48" s="123" t="s"/>
      <c r="O48" s="123" t="s"/>
      <c r="P48" s="123" t="s"/>
      <c r="Q48" s="123" t="s"/>
      <c r="R48" s="123" t="s"/>
      <c r="S48" s="124" t="s"/>
      <c r="T48" s="124" t="s"/>
      <c r="U48" s="124" t="s"/>
      <c r="V48" s="124" t="s"/>
      <c r="W48" s="124" t="s"/>
      <c r="X48" s="124" t="s"/>
      <c r="Y48" s="124" t="s"/>
      <c r="Z48" s="124" t="s"/>
    </row>
    <row r="49" spans="1:26">
      <c r="A49" s="121" t="s"/>
      <c r="B49" s="121" t="s"/>
      <c r="C49" s="121" t="s"/>
      <c r="D49" s="121" t="s"/>
      <c r="E49" s="121" t="s"/>
      <c r="F49" s="121" t="s"/>
      <c r="G49" s="121" t="s"/>
      <c r="H49" s="123" t="s"/>
      <c r="I49" s="123" t="s"/>
      <c r="J49" s="123" t="s"/>
      <c r="K49" s="123" t="s"/>
      <c r="L49" s="123" t="s"/>
      <c r="M49" s="123" t="s"/>
      <c r="N49" s="123" t="s"/>
      <c r="O49" s="123" t="s"/>
      <c r="P49" s="123" t="s"/>
      <c r="Q49" s="123" t="s"/>
      <c r="R49" s="123" t="s"/>
      <c r="S49" s="124" t="s"/>
      <c r="T49" s="124" t="s"/>
      <c r="U49" s="124" t="s"/>
      <c r="V49" s="124" t="s"/>
      <c r="W49" s="124" t="s"/>
      <c r="X49" s="124" t="s"/>
      <c r="Y49" s="124" t="s"/>
      <c r="Z49" s="124" t="s"/>
    </row>
    <row r="50" spans="1:26">
      <c r="A50" s="121" t="s"/>
      <c r="B50" s="121" t="s"/>
      <c r="C50" s="121" t="s"/>
      <c r="D50" s="121" t="s"/>
      <c r="E50" s="121" t="s"/>
      <c r="F50" s="121" t="s"/>
      <c r="G50" s="121" t="s"/>
      <c r="H50" s="123" t="s"/>
      <c r="I50" s="123" t="s"/>
      <c r="J50" s="123" t="s"/>
      <c r="K50" s="123" t="s"/>
      <c r="L50" s="123" t="s"/>
      <c r="M50" s="123" t="s"/>
      <c r="N50" s="123" t="s"/>
      <c r="O50" s="123" t="s"/>
      <c r="P50" s="123" t="s"/>
      <c r="Q50" s="123" t="s"/>
      <c r="R50" s="123" t="s"/>
      <c r="S50" s="124" t="s"/>
      <c r="T50" s="124" t="s"/>
      <c r="U50" s="124" t="s"/>
      <c r="V50" s="124" t="s"/>
      <c r="W50" s="124" t="s"/>
      <c r="X50" s="124" t="s"/>
      <c r="Y50" s="124" t="s"/>
      <c r="Z50" s="124" t="s"/>
    </row>
    <row r="51" spans="1:26">
      <c r="A51" s="121" t="s"/>
      <c r="B51" s="121" t="s"/>
      <c r="C51" s="121" t="s"/>
      <c r="D51" s="121" t="s"/>
      <c r="E51" s="121" t="s"/>
      <c r="F51" s="121" t="s"/>
      <c r="G51" s="121" t="s"/>
      <c r="H51" s="123" t="s"/>
      <c r="I51" s="123" t="s"/>
      <c r="J51" s="123" t="s"/>
      <c r="K51" s="123" t="s"/>
      <c r="L51" s="123" t="s"/>
      <c r="M51" s="123" t="s"/>
      <c r="N51" s="123" t="s"/>
      <c r="O51" s="123" t="s"/>
      <c r="P51" s="123" t="s"/>
      <c r="Q51" s="123" t="s"/>
      <c r="R51" s="123" t="s"/>
      <c r="S51" s="124" t="s"/>
      <c r="T51" s="124" t="s"/>
      <c r="U51" s="124" t="s"/>
      <c r="V51" s="124" t="s"/>
      <c r="W51" s="124" t="s"/>
      <c r="X51" s="124" t="s"/>
      <c r="Y51" s="124" t="s"/>
      <c r="Z51" s="124" t="s"/>
    </row>
    <row r="52" spans="1:26">
      <c r="A52" s="121" t="s"/>
      <c r="B52" s="121" t="s"/>
      <c r="C52" s="121" t="s"/>
      <c r="D52" s="121" t="s"/>
      <c r="E52" s="121" t="s"/>
      <c r="F52" s="121" t="s"/>
      <c r="G52" s="121" t="s"/>
      <c r="H52" s="123" t="s"/>
      <c r="I52" s="123" t="s"/>
      <c r="J52" s="123" t="s"/>
      <c r="K52" s="123" t="s"/>
      <c r="L52" s="123" t="s"/>
      <c r="M52" s="123" t="s"/>
      <c r="N52" s="123" t="s"/>
      <c r="O52" s="123" t="s"/>
      <c r="P52" s="123" t="s"/>
      <c r="Q52" s="123" t="s"/>
      <c r="R52" s="123" t="s"/>
      <c r="S52" s="124" t="s"/>
      <c r="T52" s="124" t="s"/>
      <c r="U52" s="124" t="s"/>
      <c r="V52" s="124" t="s"/>
      <c r="W52" s="124" t="s"/>
      <c r="X52" s="124" t="s"/>
      <c r="Y52" s="124" t="s"/>
      <c r="Z52" s="124" t="s"/>
    </row>
    <row r="53" spans="1:26">
      <c r="A53" s="121" t="s"/>
      <c r="B53" s="121" t="s"/>
      <c r="C53" s="121" t="s"/>
      <c r="D53" s="121" t="s"/>
      <c r="E53" s="121" t="s"/>
      <c r="F53" s="121" t="s"/>
      <c r="G53" s="121" t="s"/>
      <c r="H53" s="123" t="s"/>
      <c r="I53" s="123" t="s"/>
      <c r="J53" s="123" t="s"/>
      <c r="K53" s="123" t="s"/>
      <c r="L53" s="123" t="s"/>
      <c r="M53" s="123" t="s"/>
      <c r="N53" s="123" t="s"/>
      <c r="O53" s="123" t="s"/>
      <c r="P53" s="123" t="s"/>
      <c r="Q53" s="123" t="s"/>
      <c r="R53" s="123" t="s"/>
      <c r="S53" s="124" t="s"/>
      <c r="T53" s="124" t="s"/>
      <c r="U53" s="124" t="s"/>
      <c r="V53" s="124" t="s"/>
      <c r="W53" s="124" t="s"/>
      <c r="X53" s="124" t="s"/>
      <c r="Y53" s="124" t="s"/>
      <c r="Z53" s="124" t="s"/>
    </row>
    <row r="54" spans="1:26">
      <c r="A54" s="121" t="s"/>
      <c r="B54" s="121" t="s"/>
      <c r="C54" s="121" t="s"/>
      <c r="D54" s="121" t="s"/>
      <c r="E54" s="121" t="s"/>
      <c r="F54" s="121" t="s"/>
      <c r="G54" s="121" t="s"/>
      <c r="H54" s="123" t="s"/>
      <c r="I54" s="123" t="s"/>
      <c r="J54" s="123" t="s"/>
      <c r="K54" s="123" t="s"/>
      <c r="L54" s="123" t="s"/>
      <c r="M54" s="123" t="s"/>
      <c r="N54" s="123" t="s"/>
      <c r="O54" s="123" t="s"/>
      <c r="P54" s="123" t="s"/>
      <c r="Q54" s="123" t="s"/>
      <c r="R54" s="123" t="s"/>
      <c r="S54" s="124" t="s"/>
      <c r="T54" s="124" t="s"/>
      <c r="U54" s="124" t="s"/>
      <c r="V54" s="124" t="s"/>
      <c r="W54" s="124" t="s"/>
      <c r="X54" s="124" t="s"/>
      <c r="Y54" s="124" t="s"/>
      <c r="Z54" s="124" t="s"/>
    </row>
    <row r="55" spans="1:26">
      <c r="A55" s="121" t="s"/>
      <c r="B55" s="121" t="s"/>
      <c r="C55" s="121" t="s"/>
      <c r="D55" s="121" t="s"/>
      <c r="E55" s="121" t="s"/>
      <c r="F55" s="121" t="s"/>
      <c r="G55" s="121" t="s"/>
      <c r="H55" s="123" t="s"/>
      <c r="I55" s="123" t="s"/>
      <c r="J55" s="123" t="s"/>
      <c r="K55" s="123" t="s"/>
      <c r="L55" s="123" t="s"/>
      <c r="M55" s="123" t="s"/>
      <c r="N55" s="123" t="s"/>
      <c r="O55" s="123" t="s"/>
      <c r="P55" s="123" t="s"/>
      <c r="Q55" s="123" t="s"/>
      <c r="R55" s="123" t="s"/>
      <c r="S55" s="124" t="s"/>
      <c r="T55" s="124" t="s"/>
      <c r="U55" s="124" t="s"/>
      <c r="V55" s="124" t="s"/>
      <c r="W55" s="124" t="s"/>
      <c r="X55" s="124" t="s"/>
      <c r="Y55" s="124" t="s"/>
      <c r="Z55" s="124" t="s"/>
    </row>
    <row r="56" spans="1:26">
      <c r="A56" s="121" t="s"/>
      <c r="B56" s="121" t="s"/>
      <c r="C56" s="121" t="s"/>
      <c r="D56" s="121" t="s"/>
      <c r="E56" s="121" t="s"/>
      <c r="F56" s="121" t="s"/>
      <c r="G56" s="121" t="s"/>
      <c r="H56" s="123" t="s"/>
      <c r="I56" s="123" t="s"/>
      <c r="J56" s="123" t="s"/>
      <c r="K56" s="123" t="s"/>
      <c r="L56" s="123" t="s"/>
      <c r="M56" s="123" t="s"/>
      <c r="N56" s="123" t="s"/>
      <c r="O56" s="123" t="s"/>
      <c r="P56" s="123" t="s"/>
      <c r="Q56" s="123" t="s"/>
      <c r="R56" s="123" t="s"/>
      <c r="S56" s="124" t="s"/>
      <c r="T56" s="124" t="s"/>
      <c r="U56" s="124" t="s"/>
      <c r="V56" s="124" t="s"/>
      <c r="W56" s="124" t="s"/>
      <c r="X56" s="124" t="s"/>
      <c r="Y56" s="124" t="s"/>
      <c r="Z56" s="124" t="s"/>
    </row>
    <row r="57" spans="1:26">
      <c r="A57" s="121" t="s"/>
      <c r="B57" s="121" t="s"/>
      <c r="C57" s="121" t="s"/>
      <c r="D57" s="121" t="s"/>
      <c r="E57" s="121" t="s"/>
      <c r="F57" s="121" t="s"/>
      <c r="G57" s="121" t="s"/>
      <c r="H57" s="123" t="s"/>
      <c r="I57" s="123" t="s"/>
      <c r="J57" s="123" t="s"/>
      <c r="K57" s="123" t="s"/>
      <c r="L57" s="123" t="s"/>
      <c r="M57" s="123" t="s"/>
      <c r="N57" s="123" t="s"/>
      <c r="O57" s="123" t="s"/>
      <c r="P57" s="123" t="s"/>
      <c r="Q57" s="123" t="s"/>
      <c r="R57" s="123" t="s"/>
      <c r="S57" s="124" t="s"/>
      <c r="T57" s="124" t="s"/>
      <c r="U57" s="124" t="s"/>
      <c r="V57" s="124" t="s"/>
      <c r="W57" s="124" t="s"/>
      <c r="X57" s="124" t="s"/>
      <c r="Y57" s="124" t="s"/>
      <c r="Z57" s="124" t="s"/>
    </row>
    <row r="58" spans="1:26">
      <c r="A58" s="121" t="s"/>
      <c r="B58" s="121" t="s"/>
      <c r="C58" s="121" t="s"/>
      <c r="D58" s="121" t="s"/>
      <c r="E58" s="121" t="s"/>
      <c r="F58" s="121" t="s"/>
      <c r="G58" s="121" t="s"/>
      <c r="H58" s="123" t="s"/>
      <c r="I58" s="123" t="s"/>
      <c r="J58" s="123" t="s"/>
      <c r="K58" s="123" t="s"/>
      <c r="L58" s="123" t="s"/>
      <c r="M58" s="123" t="s"/>
      <c r="N58" s="123" t="s"/>
      <c r="O58" s="123" t="s"/>
      <c r="P58" s="123" t="s"/>
      <c r="Q58" s="123" t="s"/>
      <c r="R58" s="123" t="s"/>
      <c r="S58" s="124" t="s"/>
      <c r="T58" s="124" t="s"/>
      <c r="U58" s="124" t="s"/>
      <c r="V58" s="124" t="s"/>
      <c r="W58" s="124" t="s"/>
      <c r="X58" s="124" t="s"/>
      <c r="Y58" s="124" t="s"/>
      <c r="Z58" s="124" t="s"/>
    </row>
    <row r="59" spans="1:26">
      <c r="A59" s="121" t="s"/>
      <c r="B59" s="121" t="s"/>
      <c r="C59" s="121" t="s"/>
      <c r="D59" s="121" t="s"/>
      <c r="E59" s="121" t="s"/>
      <c r="F59" s="121" t="s"/>
      <c r="G59" s="121" t="s"/>
      <c r="H59" s="123" t="s"/>
      <c r="I59" s="125" t="s"/>
      <c r="J59" s="126" t="s"/>
      <c r="K59" s="122" t="s"/>
      <c r="L59" s="122" t="s"/>
      <c r="M59" s="123" t="s"/>
      <c r="N59" s="123" t="s"/>
      <c r="O59" s="123" t="s"/>
      <c r="P59" s="123" t="s"/>
      <c r="Q59" s="123" t="s"/>
      <c r="R59" s="123" t="s"/>
      <c r="S59" s="124" t="s"/>
      <c r="T59" s="124" t="s"/>
      <c r="U59" s="124" t="s"/>
      <c r="V59" s="124" t="s"/>
      <c r="W59" s="124" t="s"/>
      <c r="X59" s="124" t="s"/>
      <c r="Y59" s="124" t="s"/>
      <c r="Z59" s="124" t="s"/>
    </row>
    <row r="60" spans="1:26">
      <c r="A60" s="121" t="s"/>
      <c r="B60" s="121" t="s"/>
      <c r="C60" s="121" t="s"/>
      <c r="D60" s="121" t="s"/>
      <c r="E60" s="121" t="s"/>
      <c r="F60" s="121" t="s"/>
      <c r="G60" s="121" t="s"/>
      <c r="H60" s="123" t="s"/>
      <c r="I60" s="123" t="s"/>
      <c r="J60" s="123" t="s"/>
      <c r="K60" s="123" t="s"/>
      <c r="L60" s="123" t="s"/>
      <c r="M60" s="123" t="s"/>
      <c r="N60" s="123" t="s"/>
      <c r="O60" s="123" t="s"/>
      <c r="P60" s="123" t="s"/>
      <c r="Q60" s="123" t="s"/>
      <c r="R60" s="123" t="s"/>
      <c r="S60" s="124" t="s"/>
      <c r="T60" s="124" t="s"/>
      <c r="U60" s="124" t="s"/>
      <c r="V60" s="124" t="s"/>
      <c r="W60" s="124" t="s"/>
      <c r="X60" s="124" t="s"/>
      <c r="Y60" s="124" t="s"/>
      <c r="Z60" s="124" t="s"/>
    </row>
    <row r="61" spans="1:26">
      <c r="A61" s="121" t="s"/>
      <c r="B61" s="121" t="s"/>
      <c r="C61" s="121" t="s"/>
      <c r="D61" s="121" t="s"/>
      <c r="E61" s="121" t="s"/>
      <c r="F61" s="121" t="s"/>
      <c r="G61" s="121" t="s"/>
      <c r="H61" s="123" t="s"/>
      <c r="I61" s="123" t="s"/>
      <c r="J61" s="123" t="s"/>
      <c r="K61" s="123" t="s"/>
      <c r="L61" s="123" t="s"/>
      <c r="M61" s="123" t="s"/>
      <c r="N61" s="123" t="s"/>
      <c r="O61" s="123" t="s"/>
      <c r="P61" s="123" t="s"/>
      <c r="Q61" s="123" t="s"/>
      <c r="R61" s="123" t="s"/>
      <c r="S61" s="124" t="s"/>
      <c r="T61" s="124" t="s"/>
      <c r="U61" s="124" t="s"/>
      <c r="V61" s="124" t="s"/>
      <c r="W61" s="124" t="s"/>
      <c r="X61" s="124" t="s"/>
      <c r="Y61" s="124" t="s"/>
      <c r="Z61" s="124" t="s"/>
    </row>
    <row r="62" spans="1:26">
      <c r="A62" s="121" t="s"/>
      <c r="B62" s="121" t="s"/>
      <c r="C62" s="121" t="s"/>
      <c r="D62" s="121" t="s"/>
      <c r="E62" s="121" t="s"/>
      <c r="F62" s="121" t="s"/>
      <c r="G62" s="121" t="s"/>
      <c r="H62" s="123" t="s"/>
      <c r="I62" s="123" t="s"/>
      <c r="J62" s="123" t="s"/>
      <c r="K62" s="123" t="s"/>
      <c r="L62" s="123" t="s"/>
      <c r="M62" s="123" t="s"/>
      <c r="N62" s="123" t="s"/>
      <c r="O62" s="123" t="s"/>
      <c r="P62" s="123" t="s"/>
      <c r="Q62" s="123" t="s"/>
      <c r="R62" s="123" t="s"/>
      <c r="S62" s="124" t="s"/>
      <c r="T62" s="124" t="s"/>
      <c r="U62" s="124" t="s"/>
      <c r="V62" s="124" t="s"/>
      <c r="W62" s="124" t="s"/>
      <c r="X62" s="124" t="s"/>
      <c r="Y62" s="124" t="s"/>
      <c r="Z62" s="124" t="s"/>
    </row>
    <row r="63" spans="1:26" customHeight="false">
      <c r="A63" s="121" t="s"/>
      <c r="B63" s="121" t="s"/>
      <c r="C63" s="121" t="s"/>
      <c r="D63" s="121" t="s"/>
      <c r="E63" s="121" t="s"/>
      <c r="F63" s="121" t="s"/>
      <c r="G63" s="121" t="s"/>
      <c r="H63" s="123" t="s"/>
      <c r="I63" s="123" t="s"/>
      <c r="J63" s="123" t="s"/>
      <c r="K63" s="123" t="s"/>
      <c r="L63" s="123" t="s"/>
      <c r="M63" s="123" t="s"/>
      <c r="N63" s="123" t="s"/>
      <c r="O63" s="123" t="s"/>
      <c r="P63" s="123" t="s"/>
      <c r="Q63" s="123" t="s"/>
      <c r="R63" s="123" t="s"/>
      <c r="S63" s="124" t="s"/>
      <c r="T63" s="124" t="s"/>
      <c r="U63" s="124" t="s"/>
      <c r="V63" s="124" t="s"/>
      <c r="W63" s="124" t="s"/>
      <c r="X63" s="124" t="s"/>
      <c r="Y63" s="124" t="s"/>
      <c r="Z63" s="124" t="s"/>
    </row>
    <row r="64" spans="1:26" customHeight="false">
      <c r="A64" s="121" t="s"/>
      <c r="B64" s="121" t="s"/>
      <c r="C64" s="121" t="s"/>
      <c r="D64" s="121" t="s"/>
      <c r="E64" s="121" t="s"/>
      <c r="F64" s="121" t="s"/>
      <c r="G64" s="121" t="s"/>
      <c r="H64" s="123" t="s"/>
      <c r="I64" s="123" t="s"/>
      <c r="J64" s="123" t="s"/>
      <c r="K64" s="123" t="s"/>
      <c r="L64" s="123" t="s"/>
      <c r="M64" s="123" t="s"/>
      <c r="N64" s="123" t="s"/>
      <c r="O64" s="123" t="s"/>
      <c r="P64" s="123" t="s"/>
      <c r="Q64" s="123" t="s"/>
      <c r="R64" s="123" t="s"/>
      <c r="S64" s="124" t="s"/>
      <c r="T64" s="124" t="s"/>
      <c r="U64" s="124" t="s"/>
      <c r="V64" s="124" t="s"/>
      <c r="W64" s="124" t="s"/>
      <c r="X64" s="124" t="s"/>
      <c r="Y64" s="124" t="s"/>
      <c r="Z64" s="124" t="s"/>
    </row>
    <row r="65" spans="1:26" customHeight="false">
      <c r="A65" s="121" t="s"/>
      <c r="B65" s="121" t="s"/>
      <c r="C65" s="121" t="s"/>
      <c r="D65" s="121" t="s"/>
      <c r="E65" s="121" t="s"/>
      <c r="F65" s="121" t="s"/>
      <c r="G65" s="121" t="s"/>
      <c r="I65" s="123" t="s"/>
      <c r="J65" s="123" t="s"/>
      <c r="K65" s="123" t="s"/>
      <c r="L65" s="123" t="s"/>
      <c r="M65" s="123" t="s"/>
      <c r="N65" s="123" t="s"/>
      <c r="O65" s="123" t="s"/>
      <c r="P65" s="123" t="s"/>
      <c r="Q65" s="123" t="s"/>
      <c r="R65" s="123" t="s"/>
      <c r="S65" s="124" t="s"/>
      <c r="T65" s="124" t="s"/>
      <c r="U65" s="124" t="s"/>
      <c r="V65" s="124" t="s"/>
      <c r="W65" s="124" t="s"/>
      <c r="X65" s="124" t="s"/>
      <c r="Y65" s="124" t="s"/>
      <c r="Z65" s="124" t="s"/>
    </row>
    <row r="66" spans="1:26" customHeight="false">
      <c r="A66" s="121" t="s"/>
      <c r="B66" s="121" t="s"/>
      <c r="C66" s="121" t="s"/>
      <c r="D66" s="121" t="s"/>
      <c r="E66" s="121" t="s"/>
      <c r="F66" s="121" t="s"/>
      <c r="G66" s="121" t="s"/>
      <c r="I66" s="123" t="s"/>
      <c r="J66" s="123" t="s"/>
      <c r="K66" s="123" t="s"/>
      <c r="L66" s="123" t="s"/>
      <c r="M66" s="123" t="s"/>
      <c r="N66" s="123" t="s"/>
      <c r="O66" s="123" t="s"/>
      <c r="P66" s="123" t="s"/>
      <c r="Q66" s="123" t="s"/>
      <c r="R66" s="123" t="s"/>
      <c r="S66" s="124" t="s"/>
      <c r="T66" s="124" t="s"/>
      <c r="U66" s="124" t="s"/>
      <c r="V66" s="124" t="s"/>
      <c r="W66" s="124" t="s"/>
      <c r="X66" s="124" t="s"/>
      <c r="Y66" s="124" t="s"/>
      <c r="Z66" s="124" t="s"/>
    </row>
    <row r="67" spans="1:26" customHeight="false">
      <c r="A67" s="121" t="s"/>
      <c r="B67" s="121" t="s"/>
      <c r="C67" s="121" t="s"/>
      <c r="D67" s="121" t="s"/>
      <c r="E67" s="121" t="s"/>
      <c r="F67" s="121" t="s"/>
      <c r="G67" s="121" t="s"/>
      <c r="I67" s="123" t="s"/>
      <c r="J67" s="123" t="s"/>
      <c r="K67" s="123" t="s"/>
      <c r="L67" s="123" t="s"/>
      <c r="M67" s="123" t="s"/>
      <c r="N67" s="123" t="s"/>
      <c r="O67" s="123" t="s"/>
      <c r="P67" s="123" t="s"/>
      <c r="Q67" s="123" t="s"/>
      <c r="R67" s="123" t="s"/>
      <c r="S67" s="124" t="s"/>
      <c r="T67" s="124" t="s"/>
      <c r="U67" s="124" t="s"/>
      <c r="V67" s="124" t="s"/>
      <c r="W67" s="124" t="s"/>
      <c r="X67" s="124" t="s"/>
      <c r="Y67" s="124" t="s"/>
      <c r="Z67" s="124" t="s"/>
    </row>
    <row r="68" spans="9:26" customHeight="false">
      <c r="I68" s="123" t="s"/>
      <c r="J68" s="123" t="s"/>
      <c r="K68" s="123" t="s"/>
      <c r="L68" s="123" t="s"/>
      <c r="M68" s="123" t="s"/>
      <c r="N68" s="123" t="s"/>
      <c r="O68" s="123" t="s"/>
      <c r="P68" s="123" t="s"/>
      <c r="Q68" s="123" t="s"/>
      <c r="R68" s="123" t="s"/>
      <c r="S68" s="124" t="s"/>
      <c r="T68" s="124" t="s"/>
      <c r="U68" s="124" t="s"/>
      <c r="V68" s="124" t="s"/>
      <c r="W68" s="124" t="s"/>
      <c r="X68" s="124" t="s"/>
      <c r="Y68" s="124" t="s"/>
      <c r="Z68" s="124" t="s"/>
    </row>
    <row r="69" spans="1:9">
      <c r="A69" s="121" t="s"/>
      <c r="B69" s="121" t="s"/>
      <c r="C69" s="121" t="s"/>
      <c r="D69" s="121" t="s"/>
      <c r="E69" s="121" t="s"/>
      <c r="F69" s="121" t="s"/>
      <c r="G69" s="121" t="s"/>
      <c r="I69" s="123" t="s"/>
    </row>
    <row r="70" spans="1:7">
      <c r="A70" s="121" t="s"/>
      <c r="B70" s="121" t="s"/>
      <c r="C70" s="121" t="s"/>
      <c r="D70" s="121" t="s"/>
      <c r="E70" s="121" t="s"/>
      <c r="F70" s="121" t="s"/>
      <c r="G70" s="121" t="s"/>
    </row>
    <row r="71" spans="1:7">
      <c r="A71" s="121" t="s"/>
      <c r="B71" s="121" t="s"/>
      <c r="C71" s="121" t="s"/>
      <c r="D71" s="121" t="s"/>
      <c r="E71" s="121" t="s"/>
      <c r="F71" s="121" t="s"/>
      <c r="G71" s="121" t="s"/>
    </row>
    <row r="72" spans="1:7">
      <c r="A72" s="121" t="s"/>
      <c r="B72" s="121" t="s"/>
      <c r="C72" s="121" t="s"/>
      <c r="D72" s="121" t="s"/>
      <c r="E72" s="121" t="s"/>
      <c r="F72" s="121" t="s"/>
      <c r="G72" s="121" t="s"/>
    </row>
    <row r="73" spans="1:7">
      <c r="A73" s="121" t="s"/>
      <c r="B73" s="121" t="s"/>
      <c r="C73" s="121" t="s"/>
      <c r="D73" s="121" t="s"/>
      <c r="E73" s="121" t="s"/>
      <c r="F73" s="121" t="s"/>
      <c r="G73" s="121" t="s"/>
    </row>
    <row r="74" spans="1:7">
      <c r="A74" s="121" t="s"/>
      <c r="B74" s="121" t="s"/>
      <c r="C74" s="121" t="s"/>
      <c r="D74" s="121" t="s"/>
      <c r="E74" s="121" t="s"/>
      <c r="F74" s="121" t="s"/>
      <c r="G74" s="121" t="s"/>
    </row>
    <row r="75" spans="1:7">
      <c r="A75" s="121" t="s"/>
      <c r="B75" s="121" t="s"/>
      <c r="C75" s="121" t="s"/>
      <c r="D75" s="121" t="s"/>
      <c r="E75" s="121" t="s"/>
      <c r="F75" s="121" t="s"/>
      <c r="G75" s="121" t="s"/>
    </row>
    <row r="76" spans="1:7">
      <c r="A76" s="121" t="s"/>
      <c r="B76" s="121" t="s"/>
      <c r="C76" s="121" t="s"/>
      <c r="D76" s="121" t="s"/>
      <c r="E76" s="121" t="s"/>
      <c r="F76" s="121" t="s"/>
      <c r="G76" s="121" t="s"/>
    </row>
    <row r="77" spans="1:7">
      <c r="A77" s="121" t="s"/>
      <c r="B77" s="121" t="s"/>
      <c r="C77" s="121" t="s"/>
      <c r="D77" s="121" t="s"/>
      <c r="E77" s="121" t="s"/>
      <c r="F77" s="121" t="s"/>
      <c r="G77" s="121" t="s"/>
    </row>
    <row r="78" spans="1:7">
      <c r="A78" s="121" t="s"/>
      <c r="B78" s="121" t="s"/>
      <c r="C78" s="121" t="s"/>
      <c r="D78" s="121" t="s"/>
      <c r="E78" s="121" t="s"/>
      <c r="F78" s="121" t="s"/>
      <c r="G78" s="121" t="s"/>
    </row>
    <row r="79" spans="1:7">
      <c r="A79" s="121" t="s"/>
      <c r="B79" s="121" t="s"/>
      <c r="C79" s="121" t="s"/>
      <c r="D79" s="121" t="s"/>
      <c r="E79" s="121" t="s"/>
      <c r="F79" s="121" t="s"/>
      <c r="G79" s="121" t="s"/>
    </row>
    <row r="80" spans="1:7">
      <c r="A80" s="121" t="s"/>
      <c r="B80" s="121" t="s"/>
      <c r="C80" s="121" t="s"/>
      <c r="D80" s="121" t="s"/>
      <c r="E80" s="121" t="s"/>
      <c r="F80" s="121" t="s"/>
      <c r="G80" s="121" t="s"/>
    </row>
    <row r="81" spans="1:7">
      <c r="A81" s="121" t="s"/>
      <c r="B81" s="121" t="s"/>
      <c r="C81" s="121" t="s"/>
      <c r="D81" s="121" t="s"/>
      <c r="E81" s="121" t="s"/>
      <c r="F81" s="121" t="s"/>
      <c r="G81" s="121" t="s"/>
    </row>
    <row r="82" spans="1:7">
      <c r="A82" s="121" t="s"/>
      <c r="B82" s="121" t="s"/>
      <c r="C82" s="121" t="s"/>
      <c r="D82" s="121" t="s"/>
      <c r="E82" s="121" t="s"/>
      <c r="F82" s="121" t="s"/>
      <c r="G82" s="121" t="s"/>
    </row>
    <row r="83" spans="1:7">
      <c r="A83" s="121" t="s"/>
      <c r="B83" s="121" t="s"/>
      <c r="C83" s="121" t="s"/>
      <c r="D83" s="121" t="s"/>
      <c r="E83" s="121" t="s"/>
      <c r="F83" s="121" t="s"/>
      <c r="G83" s="121" t="s"/>
    </row>
    <row r="84" spans="1:7">
      <c r="A84" s="121" t="s"/>
      <c r="B84" s="121" t="s"/>
      <c r="C84" s="121" t="s"/>
      <c r="D84" s="121" t="s"/>
      <c r="E84" s="121" t="s"/>
      <c r="F84" s="121" t="s"/>
      <c r="G84" s="121" t="s"/>
    </row>
    <row r="85" spans="1:7">
      <c r="A85" s="121" t="s"/>
      <c r="B85" s="121" t="s"/>
      <c r="C85" s="121" t="s"/>
      <c r="D85" s="121" t="s"/>
      <c r="E85" s="121" t="s"/>
      <c r="F85" s="121" t="s"/>
      <c r="G85" s="121" t="s"/>
    </row>
    <row r="86" spans="1:7">
      <c r="A86" s="121" t="s"/>
      <c r="B86" s="121" t="s"/>
      <c r="C86" s="121" t="s"/>
      <c r="D86" s="121" t="s"/>
      <c r="E86" s="121" t="s"/>
      <c r="F86" s="121" t="s"/>
      <c r="G86" s="121" t="s"/>
    </row>
    <row r="87" spans="1:7">
      <c r="A87" s="121" t="s"/>
      <c r="B87" s="121" t="s"/>
      <c r="C87" s="121" t="s"/>
      <c r="D87" s="121" t="s"/>
      <c r="E87" s="121" t="s"/>
      <c r="F87" s="121" t="s"/>
      <c r="G87" s="121" t="s"/>
    </row>
  </sheetData>
  <mergeCells count="1">
    <mergeCell ref="J59:L59"/>
  </mergeCells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1附 团队积分记录2026">
    <tabColor rgb="FFFFFFFF"/>
  </sheetPr>
  <dimension ref="H27"/>
  <sheetViews>
    <sheetView showGridLines="false" rightToLeft="false" workbookViewId="0">
      <pane ySplit="2" topLeftCell="A3" state="frozen"/>
    </sheetView>
  </sheetViews>
  <cols>
    <col min="1" max="2" width="13.4922" customWidth="true"/>
    <col min="3" max="3" width="13.8008" customWidth="true"/>
    <col min="4" max="4" width="9.28125" customWidth="true"/>
    <col min="5" max="5" width="17.4023" customWidth="true"/>
    <col min="6" max="6" width="40.6133" style="127" customWidth="true"/>
    <col min="7" max="7" width="15.7812" customWidth="true"/>
    <col min="8" max="8" width="15.7812" style="128" customWidth="true"/>
  </cols>
  <sheetData>
    <row r="1" spans="1:8" ht="58.5" customHeight="true">
      <c r="A1" s="4" t="s"/>
      <c r="B1" s="5" t="s"/>
      <c r="C1" s="6" t="s">
        <v>1</v>
      </c>
      <c r="D1" s="7" t="s"/>
      <c r="E1" s="7" t="s"/>
      <c r="F1" s="8" t="s"/>
      <c r="G1" s="9" t="s"/>
      <c r="H1" s="10" t="s"/>
    </row>
    <row r="2" spans="1:8">
      <c r="A2" s="11" t="s"/>
      <c r="B2" s="12" t="s">
        <v>2</v>
      </c>
      <c r="C2" s="12" t="s">
        <v>3</v>
      </c>
      <c r="D2" s="12" t="s">
        <v>4</v>
      </c>
      <c r="E2" s="12" t="s">
        <v>5</v>
      </c>
      <c r="F2" s="13" t="s">
        <v>6</v>
      </c>
      <c r="G2" s="12" t="s">
        <v>7</v>
      </c>
      <c r="H2" s="14" t="s"/>
    </row>
    <row r="3" spans="1:8" ht="18" customHeight="true">
      <c r="A3" s="15" t="s"/>
      <c r="B3" s="16">
        <v>46112</v>
      </c>
      <c r="C3" s="17" t="s">
        <v>8</v>
      </c>
      <c r="D3" s="18">
        <v>2</v>
      </c>
      <c r="E3" s="18" t="s">
        <v>9</v>
      </c>
      <c r="F3" s="19" t="s">
        <v>10</v>
      </c>
      <c r="G3" s="17" t="s">
        <v>11</v>
      </c>
      <c r="H3" s="20" t="s"/>
    </row>
    <row r="4" spans="1:8" ht="18" customHeight="true">
      <c r="A4" s="15" t="s"/>
      <c r="B4" s="16">
        <v>46112</v>
      </c>
      <c r="C4" s="16" t="s">
        <v>12</v>
      </c>
      <c r="D4" s="21">
        <v>0.5</v>
      </c>
      <c r="E4" s="18" t="s">
        <v>9</v>
      </c>
      <c r="F4" s="19" t="s">
        <v>13</v>
      </c>
      <c r="G4" s="17" t="s">
        <v>11</v>
      </c>
      <c r="H4" s="20" t="s"/>
    </row>
    <row r="5" spans="1:8" ht="18" customHeight="true">
      <c r="A5" s="15" t="s"/>
      <c r="B5" s="16">
        <v>46112</v>
      </c>
      <c r="C5" s="16" t="s">
        <v>14</v>
      </c>
      <c r="D5" s="21">
        <v>0.5</v>
      </c>
      <c r="E5" s="18" t="s">
        <v>9</v>
      </c>
      <c r="F5" s="19" t="s">
        <v>15</v>
      </c>
      <c r="G5" s="17" t="s">
        <v>11</v>
      </c>
      <c r="H5" s="20" t="s"/>
    </row>
    <row r="6" spans="1:8" ht="18" customHeight="true">
      <c r="A6" s="15" t="s"/>
      <c r="B6" s="22">
        <v>46081</v>
      </c>
      <c r="C6" s="22" t="s">
        <v>8</v>
      </c>
      <c r="D6" s="23">
        <v>2</v>
      </c>
      <c r="E6" s="23" t="s">
        <v>9</v>
      </c>
      <c r="F6" s="24" t="s">
        <v>10</v>
      </c>
      <c r="G6" s="22" t="s">
        <v>11</v>
      </c>
      <c r="H6" s="20" t="s"/>
    </row>
    <row r="7" spans="1:8" ht="18" customHeight="true">
      <c r="A7" s="15" t="s"/>
      <c r="B7" s="21" t="s">
        <v>16</v>
      </c>
      <c r="C7" s="21" t="s">
        <v>17</v>
      </c>
      <c r="D7" s="21">
        <v>2</v>
      </c>
      <c r="E7" s="21" t="s">
        <v>18</v>
      </c>
      <c r="F7" s="25" t="s">
        <v>19</v>
      </c>
      <c r="G7" s="21" t="s">
        <v>20</v>
      </c>
      <c r="H7" s="20" t="s"/>
    </row>
    <row r="8" spans="1:8" ht="18" customHeight="true">
      <c r="A8" s="15" t="s"/>
      <c r="B8" s="21" t="s">
        <v>16</v>
      </c>
      <c r="C8" s="21" t="s">
        <v>21</v>
      </c>
      <c r="D8" s="21">
        <v>2</v>
      </c>
      <c r="E8" s="21" t="s">
        <v>18</v>
      </c>
      <c r="F8" s="25" t="s">
        <v>19</v>
      </c>
      <c r="G8" s="21" t="s">
        <v>20</v>
      </c>
      <c r="H8" s="20" t="s"/>
    </row>
    <row r="9" spans="1:8" ht="18" customHeight="true">
      <c r="A9" s="15" t="s"/>
      <c r="B9" s="21" t="s">
        <v>16</v>
      </c>
      <c r="C9" s="21" t="s">
        <v>22</v>
      </c>
      <c r="D9" s="21">
        <v>2</v>
      </c>
      <c r="E9" s="21" t="s">
        <v>18</v>
      </c>
      <c r="F9" s="25" t="s">
        <v>23</v>
      </c>
      <c r="G9" s="21" t="s">
        <v>20</v>
      </c>
      <c r="H9" s="20" t="s"/>
    </row>
    <row r="10" spans="1:8" ht="18" customHeight="true">
      <c r="A10" s="15" t="s"/>
      <c r="B10" s="21" t="s">
        <v>16</v>
      </c>
      <c r="C10" s="21" t="s">
        <v>24</v>
      </c>
      <c r="D10" s="21">
        <v>2</v>
      </c>
      <c r="E10" s="21" t="s">
        <v>18</v>
      </c>
      <c r="F10" s="25" t="s">
        <v>23</v>
      </c>
      <c r="G10" s="21" t="s">
        <v>20</v>
      </c>
      <c r="H10" s="20" t="s"/>
    </row>
    <row r="11" spans="1:8" ht="18" customHeight="true">
      <c r="A11" s="15" t="s"/>
      <c r="B11" s="21" t="s">
        <v>16</v>
      </c>
      <c r="C11" s="18" t="s">
        <v>25</v>
      </c>
      <c r="D11" s="21">
        <v>2</v>
      </c>
      <c r="E11" s="21" t="s">
        <v>18</v>
      </c>
      <c r="F11" s="25" t="s">
        <v>26</v>
      </c>
      <c r="G11" s="21" t="s">
        <v>20</v>
      </c>
      <c r="H11" s="20" t="s"/>
    </row>
    <row r="12" spans="1:8" ht="18" customHeight="true">
      <c r="A12" s="15" t="s"/>
      <c r="B12" s="23" t="s">
        <v>27</v>
      </c>
      <c r="C12" s="23" t="s">
        <v>25</v>
      </c>
      <c r="D12" s="23">
        <v>2</v>
      </c>
      <c r="E12" s="23" t="s">
        <v>28</v>
      </c>
      <c r="F12" s="26" t="s">
        <v>29</v>
      </c>
      <c r="G12" s="23" t="s">
        <v>20</v>
      </c>
      <c r="H12" s="20" t="s"/>
    </row>
    <row r="13" spans="1:8" ht="18" customHeight="true">
      <c r="A13" s="15" t="s"/>
      <c r="B13" s="21" t="s">
        <v>27</v>
      </c>
      <c r="C13" s="21" t="s">
        <v>30</v>
      </c>
      <c r="D13" s="21">
        <v>4</v>
      </c>
      <c r="E13" s="21" t="s">
        <v>28</v>
      </c>
      <c r="F13" s="25" t="s">
        <v>31</v>
      </c>
      <c r="G13" s="21" t="s">
        <v>20</v>
      </c>
      <c r="H13" s="20" t="s"/>
    </row>
    <row r="14" spans="1:8" ht="18" customHeight="true">
      <c r="A14" s="15" t="s"/>
      <c r="B14" s="21" t="s">
        <v>27</v>
      </c>
      <c r="C14" s="21" t="s">
        <v>25</v>
      </c>
      <c r="D14" s="21">
        <v>4</v>
      </c>
      <c r="E14" s="21" t="s">
        <v>28</v>
      </c>
      <c r="F14" s="25" t="s">
        <v>31</v>
      </c>
      <c r="G14" s="21" t="s">
        <v>20</v>
      </c>
      <c r="H14" s="20" t="s"/>
    </row>
    <row r="15" spans="1:8" ht="18" customHeight="true">
      <c r="A15" s="15" t="s"/>
      <c r="B15" s="21" t="s">
        <v>27</v>
      </c>
      <c r="C15" s="21" t="s">
        <v>32</v>
      </c>
      <c r="D15" s="21">
        <v>4</v>
      </c>
      <c r="E15" s="21" t="s">
        <v>28</v>
      </c>
      <c r="F15" s="25" t="s">
        <v>31</v>
      </c>
      <c r="G15" s="21" t="s">
        <v>20</v>
      </c>
      <c r="H15" s="20" t="s"/>
    </row>
    <row r="16" spans="1:8" ht="18" customHeight="true">
      <c r="A16" s="15" t="s"/>
      <c r="B16" s="21" t="s">
        <v>27</v>
      </c>
      <c r="C16" s="21" t="s">
        <v>33</v>
      </c>
      <c r="D16" s="21">
        <v>2</v>
      </c>
      <c r="E16" s="21" t="s">
        <v>28</v>
      </c>
      <c r="F16" s="25" t="s">
        <v>34</v>
      </c>
      <c r="G16" s="21" t="s">
        <v>20</v>
      </c>
      <c r="H16" s="20" t="s"/>
    </row>
    <row r="17" spans="1:8" ht="18" customHeight="true">
      <c r="A17" s="15" t="s"/>
      <c r="B17" s="21" t="s">
        <v>27</v>
      </c>
      <c r="C17" s="21" t="s">
        <v>14</v>
      </c>
      <c r="D17" s="21">
        <v>2</v>
      </c>
      <c r="E17" s="21" t="s">
        <v>28</v>
      </c>
      <c r="F17" s="25" t="s">
        <v>34</v>
      </c>
      <c r="G17" s="21" t="s">
        <v>20</v>
      </c>
      <c r="H17" s="20" t="s"/>
    </row>
    <row r="18" spans="1:8" ht="18" customHeight="true">
      <c r="A18" s="15" t="s"/>
      <c r="B18" s="21" t="s">
        <v>27</v>
      </c>
      <c r="C18" s="21" t="s">
        <v>35</v>
      </c>
      <c r="D18" s="21">
        <v>2</v>
      </c>
      <c r="E18" s="21" t="s">
        <v>28</v>
      </c>
      <c r="F18" s="25" t="s">
        <v>34</v>
      </c>
      <c r="G18" s="21" t="s">
        <v>20</v>
      </c>
      <c r="H18" s="20" t="s"/>
    </row>
    <row r="19" spans="1:8" ht="18" customHeight="true">
      <c r="A19" s="15" t="s"/>
      <c r="B19" s="21" t="s">
        <v>27</v>
      </c>
      <c r="C19" s="21" t="s">
        <v>24</v>
      </c>
      <c r="D19" s="21">
        <v>2</v>
      </c>
      <c r="E19" s="21" t="s">
        <v>28</v>
      </c>
      <c r="F19" s="25" t="s">
        <v>34</v>
      </c>
      <c r="G19" s="21" t="s">
        <v>20</v>
      </c>
      <c r="H19" s="20" t="s"/>
    </row>
    <row r="20" spans="1:8" ht="18" customHeight="true">
      <c r="A20" s="15" t="s"/>
      <c r="B20" s="21" t="s">
        <v>27</v>
      </c>
      <c r="C20" s="21" t="s">
        <v>36</v>
      </c>
      <c r="D20" s="21">
        <v>2</v>
      </c>
      <c r="E20" s="21" t="s">
        <v>28</v>
      </c>
      <c r="F20" s="25" t="s">
        <v>34</v>
      </c>
      <c r="G20" s="21" t="s">
        <v>20</v>
      </c>
      <c r="H20" s="20" t="s"/>
    </row>
    <row r="21" spans="1:8" ht="18" customHeight="true">
      <c r="A21" s="15" t="s"/>
      <c r="B21" s="21" t="s">
        <v>27</v>
      </c>
      <c r="C21" s="21" t="s">
        <v>21</v>
      </c>
      <c r="D21" s="21">
        <v>2</v>
      </c>
      <c r="E21" s="21" t="s">
        <v>28</v>
      </c>
      <c r="F21" s="25" t="s">
        <v>34</v>
      </c>
      <c r="G21" s="21" t="s">
        <v>20</v>
      </c>
      <c r="H21" s="20" t="s"/>
    </row>
    <row r="22" spans="1:8" ht="18" customHeight="true">
      <c r="A22" s="15" t="s"/>
      <c r="B22" s="21" t="s">
        <v>27</v>
      </c>
      <c r="C22" s="21" t="s">
        <v>37</v>
      </c>
      <c r="D22" s="21">
        <v>2</v>
      </c>
      <c r="E22" s="21" t="s">
        <v>28</v>
      </c>
      <c r="F22" s="25" t="s">
        <v>34</v>
      </c>
      <c r="G22" s="21" t="s">
        <v>20</v>
      </c>
      <c r="H22" s="20" t="s"/>
    </row>
    <row r="23" spans="1:8" ht="18" customHeight="true">
      <c r="A23" s="15" t="s"/>
      <c r="B23" s="21" t="s">
        <v>27</v>
      </c>
      <c r="C23" s="21" t="s">
        <v>38</v>
      </c>
      <c r="D23" s="21">
        <v>2</v>
      </c>
      <c r="E23" s="21" t="s">
        <v>28</v>
      </c>
      <c r="F23" s="25" t="s">
        <v>34</v>
      </c>
      <c r="G23" s="21" t="s">
        <v>20</v>
      </c>
      <c r="H23" s="20" t="s"/>
    </row>
    <row r="24" spans="1:8" ht="18" customHeight="true">
      <c r="A24" s="15" t="s"/>
      <c r="B24" s="21" t="s">
        <v>27</v>
      </c>
      <c r="C24" s="21" t="s">
        <v>8</v>
      </c>
      <c r="D24" s="21">
        <v>2</v>
      </c>
      <c r="E24" s="21" t="s">
        <v>28</v>
      </c>
      <c r="F24" s="25" t="s">
        <v>34</v>
      </c>
      <c r="G24" s="21" t="s">
        <v>20</v>
      </c>
      <c r="H24" s="20" t="s"/>
    </row>
    <row r="25" spans="1:8" ht="18" customHeight="true">
      <c r="A25" s="15" t="s"/>
      <c r="B25" s="16">
        <v>46053</v>
      </c>
      <c r="C25" s="16" t="s">
        <v>39</v>
      </c>
      <c r="D25" s="21">
        <v>2</v>
      </c>
      <c r="E25" s="21" t="s">
        <v>9</v>
      </c>
      <c r="F25" s="27" t="s">
        <v>40</v>
      </c>
      <c r="G25" s="16" t="s">
        <v>11</v>
      </c>
      <c r="H25" s="20" t="s"/>
    </row>
    <row r="26" spans="1:8" ht="18" customHeight="true">
      <c r="A26" s="15" t="s"/>
      <c r="B26" s="16">
        <v>46053</v>
      </c>
      <c r="C26" s="16" t="s">
        <v>8</v>
      </c>
      <c r="D26" s="21">
        <v>2</v>
      </c>
      <c r="E26" s="21" t="s">
        <v>9</v>
      </c>
      <c r="F26" s="27" t="s">
        <v>10</v>
      </c>
      <c r="G26" s="16" t="s">
        <v>11</v>
      </c>
      <c r="H26" s="20" t="s"/>
    </row>
    <row r="27" spans="1:8" customHeight="false"/>
  </sheetData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 codeName="☆2 员工积分榜2026">
    <tabColor rgb="FFFFFFFF"/>
  </sheetPr>
  <dimension ref="R147"/>
  <sheetViews>
    <sheetView showGridLines="false" rightToLeft="false" workbookViewId="0">
      <pane ySplit="2" topLeftCell="A3" state="frozen"/>
    </sheetView>
  </sheetViews>
  <cols>
    <col min="1" max="1" width="4.3125" customWidth="true"/>
    <col min="2" max="2" width="20.2422" customWidth="true"/>
    <col min="3" max="4" width="9.58203" customWidth="true"/>
    <col min="5" max="5" width="10.1211" customWidth="true"/>
    <col min="6" max="17" width="10.793" customWidth="true"/>
    <col min="18" max="18" width="5.12109" style="128" customWidth="true"/>
  </cols>
  <sheetData>
    <row r="1" spans="1:18" s="129" customFormat="true" ht="54" customHeight="true">
      <c r="A1" s="28" t="s"/>
      <c r="C1" s="29" t="s">
        <v>229</v>
      </c>
      <c r="D1" s="30" t="s"/>
      <c r="E1" s="30" t="s"/>
      <c r="F1" s="31" t="s"/>
      <c r="G1" s="31" t="s"/>
      <c r="H1" s="31" t="s"/>
      <c r="I1" s="31" t="s"/>
      <c r="J1" s="31" t="s"/>
      <c r="K1" s="31" t="s"/>
      <c r="L1" s="31" t="s"/>
      <c r="M1" s="31" t="s"/>
      <c r="N1" s="31" t="s"/>
      <c r="O1" s="31" t="s"/>
      <c r="P1" s="31" t="s"/>
      <c r="Q1" s="31" t="s"/>
      <c r="R1" s="31" t="s"/>
    </row>
    <row r="2" spans="2:18" s="130" customFormat="true">
      <c r="B2" s="32" t="s">
        <v>3</v>
      </c>
      <c r="C2" s="33" t="s">
        <v>41</v>
      </c>
      <c r="D2" s="34" t="s">
        <v>42</v>
      </c>
      <c r="E2" s="34" t="s">
        <v>43</v>
      </c>
      <c r="F2" s="35">
        <v>45658</v>
      </c>
      <c r="G2" s="35">
        <v>45689</v>
      </c>
      <c r="H2" s="35">
        <v>45717</v>
      </c>
      <c r="I2" s="35">
        <v>45748</v>
      </c>
      <c r="J2" s="35">
        <v>45778</v>
      </c>
      <c r="K2" s="35">
        <v>45809</v>
      </c>
      <c r="L2" s="35">
        <v>45839</v>
      </c>
      <c r="M2" s="35">
        <v>45870</v>
      </c>
      <c r="N2" s="35">
        <v>45901</v>
      </c>
      <c r="O2" s="35">
        <v>45932</v>
      </c>
      <c r="P2" s="35">
        <v>45964</v>
      </c>
      <c r="Q2" s="36">
        <v>45992</v>
      </c>
      <c r="R2" s="37" t="s"/>
    </row>
    <row r="3" spans="1:18" ht="22.5" customHeight="true">
      <c r="A3" s="38" t="s"/>
      <c r="B3" s="39" t="s">
        <v>44</v>
      </c>
      <c r="C3" s="40" t="s">
        <v>45</v>
      </c>
      <c r="D3" s="41" t="s"/>
      <c r="E3" s="42">
        <f>=F3+G3+H3+I3+J3+K3+L3+M3+N3+O3+P3+Q3</f>
        <v>14</v>
      </c>
      <c r="F3" s="40" t="s"/>
      <c r="G3" s="40">
        <v>10</v>
      </c>
      <c r="H3" s="40">
        <f>=3</f>
        <v>3</v>
      </c>
      <c r="I3" s="40">
        <f>=1</f>
        <v>1</v>
      </c>
      <c r="J3" s="40" t="s"/>
      <c r="K3" s="40" t="s"/>
      <c r="L3" s="40" t="s"/>
      <c r="M3" s="40" t="s"/>
      <c r="N3" s="40" t="s"/>
      <c r="O3" s="40" t="s"/>
      <c r="P3" s="40" t="s"/>
      <c r="Q3" s="40" t="s"/>
      <c r="R3" s="43" t="s"/>
    </row>
    <row r="4" spans="1:18" ht="22.5" customHeight="true">
      <c r="A4" s="44" t="s"/>
      <c r="B4" s="45" t="s">
        <v>8</v>
      </c>
      <c r="C4" s="46" t="s">
        <v>46</v>
      </c>
      <c r="D4" s="47" t="s"/>
      <c r="E4" s="42">
        <f>=F4+G4+H4+I4+J4+K4+L4+M4+N4+O4+P4+Q4</f>
        <v>14</v>
      </c>
      <c r="F4" s="46" t="s"/>
      <c r="G4" s="46">
        <f>=2</f>
        <v>2</v>
      </c>
      <c r="H4" s="46">
        <f>=2+1+8</f>
        <v>11</v>
      </c>
      <c r="I4" s="46">
        <f>=1</f>
        <v>1</v>
      </c>
      <c r="J4" s="46" t="s"/>
      <c r="K4" s="46" t="s"/>
      <c r="L4" s="46" t="s"/>
      <c r="M4" s="46" t="s"/>
      <c r="N4" s="46" t="s"/>
      <c r="O4" s="46" t="s"/>
      <c r="P4" s="46" t="s"/>
      <c r="Q4" s="46" t="s"/>
      <c r="R4" s="43" t="s"/>
    </row>
    <row r="5" spans="1:18" ht="22.5" customHeight="true">
      <c r="A5" s="44" t="s"/>
      <c r="B5" s="45" t="s">
        <v>24</v>
      </c>
      <c r="C5" s="46" t="s">
        <v>47</v>
      </c>
      <c r="D5" s="47" t="s"/>
      <c r="E5" s="42">
        <f>=F5+G5+H5+I5+J5+K5+L5+M5+N5+O5+P5+Q5</f>
        <v>13</v>
      </c>
      <c r="F5" s="46" t="s"/>
      <c r="G5" s="46">
        <f>=2+5</f>
        <v>7</v>
      </c>
      <c r="H5" s="46">
        <f>=5</f>
        <v>5</v>
      </c>
      <c r="I5" s="46">
        <f>=1</f>
        <v>1</v>
      </c>
      <c r="J5" s="46" t="s"/>
      <c r="K5" s="46" t="s"/>
      <c r="L5" s="46" t="s"/>
      <c r="M5" s="46" t="s"/>
      <c r="N5" s="46" t="s"/>
      <c r="O5" s="46" t="s"/>
      <c r="P5" s="46" t="s"/>
      <c r="Q5" s="46" t="s"/>
      <c r="R5" s="43" t="s"/>
    </row>
    <row r="6" spans="1:18" ht="22.5" customHeight="true">
      <c r="A6" s="44" t="s"/>
      <c r="B6" s="39" t="s">
        <v>39</v>
      </c>
      <c r="C6" s="40" t="s">
        <v>48</v>
      </c>
      <c r="D6" s="41" t="s"/>
      <c r="E6" s="48">
        <f>=F6+G6+H6+I6+J6+K6+L6+M6+N6+O6+P6+Q6</f>
        <v>11</v>
      </c>
      <c r="F6" s="40">
        <f>=10</f>
        <v>10</v>
      </c>
      <c r="G6" s="40" t="s"/>
      <c r="H6" s="40" t="s"/>
      <c r="I6" s="40">
        <f>=1</f>
        <v>1</v>
      </c>
      <c r="J6" s="40" t="s"/>
      <c r="K6" s="40" t="s"/>
      <c r="L6" s="40" t="s"/>
      <c r="M6" s="40" t="s"/>
      <c r="N6" s="40" t="s"/>
      <c r="O6" s="40" t="s"/>
      <c r="P6" s="40" t="s"/>
      <c r="Q6" s="40" t="s"/>
      <c r="R6" s="43" t="s"/>
    </row>
    <row r="7" spans="1:18" ht="22.5" customHeight="true">
      <c r="A7" s="44" t="s"/>
      <c r="B7" s="49" t="s">
        <v>8</v>
      </c>
      <c r="C7" s="50" t="s">
        <v>230</v>
      </c>
      <c r="D7" s="51" t="s"/>
      <c r="E7" s="42">
        <f>=F7+G7+H7+I7+J7+K7+L7+M7+N7+O7+P7+Q7</f>
        <v>16</v>
      </c>
      <c r="F7" s="50">
        <f>=5</f>
        <v>5</v>
      </c>
      <c r="G7" s="50">
        <f>=5</f>
        <v>5</v>
      </c>
      <c r="H7" s="50">
        <f>=5</f>
        <v>5</v>
      </c>
      <c r="I7" s="50">
        <f>=1</f>
        <v>1</v>
      </c>
      <c r="J7" s="50" t="s"/>
      <c r="K7" s="50" t="s"/>
      <c r="L7" s="50" t="s"/>
      <c r="M7" s="50" t="s"/>
      <c r="N7" s="50" t="s"/>
      <c r="O7" s="50" t="s"/>
      <c r="P7" s="50" t="s"/>
      <c r="Q7" s="50" t="s"/>
      <c r="R7" s="43" t="s"/>
    </row>
    <row r="8" spans="1:18" ht="22.5" customHeight="true">
      <c r="A8" s="44" t="s"/>
      <c r="B8" s="45" t="s">
        <v>8</v>
      </c>
      <c r="C8" s="46" t="s">
        <v>49</v>
      </c>
      <c r="D8" s="51" t="s"/>
      <c r="E8" s="48">
        <f>=F8+G8+H8+I8+J8+K8+L8+M8+N8+O8+P8+Q8</f>
        <v>16</v>
      </c>
      <c r="F8" s="46">
        <f>=5</f>
        <v>5</v>
      </c>
      <c r="G8" s="46">
        <f>=5</f>
        <v>5</v>
      </c>
      <c r="H8" s="46">
        <f>=5</f>
        <v>5</v>
      </c>
      <c r="I8" s="46">
        <f>=1</f>
        <v>1</v>
      </c>
      <c r="J8" s="46" t="s"/>
      <c r="K8" s="46" t="s"/>
      <c r="L8" s="46" t="s"/>
      <c r="M8" s="46" t="s"/>
      <c r="N8" s="46" t="s"/>
      <c r="O8" s="46" t="s"/>
      <c r="P8" s="46" t="s"/>
      <c r="Q8" s="46" t="s"/>
      <c r="R8" s="43" t="s"/>
    </row>
    <row r="9" spans="1:18" ht="22.5" customHeight="true">
      <c r="A9" s="44" t="s"/>
      <c r="B9" s="45" t="s">
        <v>25</v>
      </c>
      <c r="C9" s="46" t="s">
        <v>50</v>
      </c>
      <c r="D9" s="47" t="s"/>
      <c r="E9" s="48">
        <f>=F9+G9+H9+I9+J9+K9+L9+M9+N9+O9+P9+Q9</f>
        <v>11</v>
      </c>
      <c r="F9" s="46" t="s"/>
      <c r="G9" s="46">
        <f>=5</f>
        <v>5</v>
      </c>
      <c r="H9" s="46">
        <f>=2+3</f>
        <v>5</v>
      </c>
      <c r="I9" s="46">
        <f>=1</f>
        <v>1</v>
      </c>
      <c r="J9" s="46" t="s"/>
      <c r="K9" s="46" t="s"/>
      <c r="L9" s="46" t="s"/>
      <c r="M9" s="46" t="s"/>
      <c r="N9" s="46" t="s"/>
      <c r="O9" s="46" t="s"/>
      <c r="P9" s="46" t="s"/>
      <c r="Q9" s="46" t="s"/>
      <c r="R9" s="52" t="s"/>
    </row>
    <row r="10" spans="1:18" ht="22.5" customHeight="true">
      <c r="A10" s="44" t="s">
        <v>51</v>
      </c>
      <c r="B10" s="49" t="s">
        <v>24</v>
      </c>
      <c r="C10" s="50" t="s">
        <v>11</v>
      </c>
      <c r="D10" s="51" t="s"/>
      <c r="E10" s="48">
        <f>=F10+G10+H10+I10+J10+K10+L10+M10+N10+O10+P10+Q10</f>
        <v>7</v>
      </c>
      <c r="F10" s="46" t="s"/>
      <c r="G10" s="46">
        <f>=2+5</f>
        <v>7</v>
      </c>
      <c r="H10" s="46" t="s"/>
      <c r="I10" s="46" t="s"/>
      <c r="J10" s="46" t="s"/>
      <c r="K10" s="46" t="s"/>
      <c r="L10" s="46" t="s"/>
      <c r="M10" s="46" t="s"/>
      <c r="N10" s="46" t="s"/>
      <c r="O10" s="46" t="s"/>
      <c r="P10" s="46" t="s"/>
      <c r="Q10" s="46" t="s"/>
      <c r="R10" s="52" t="s"/>
    </row>
    <row r="11" spans="1:18" ht="22.5" customHeight="true">
      <c r="A11" s="53" t="s"/>
      <c r="B11" s="45" t="s">
        <v>12</v>
      </c>
      <c r="C11" s="46" t="s">
        <v>52</v>
      </c>
      <c r="D11" s="47" t="s"/>
      <c r="E11" s="48">
        <f>=F11+G11+H11+I11+J11+K11+L11+M11+N11+O11+P11+Q11</f>
        <v>10.5</v>
      </c>
      <c r="F11" s="46" t="s"/>
      <c r="G11" s="46">
        <f>=2+5</f>
        <v>7</v>
      </c>
      <c r="H11" s="46">
        <f>=2.5</f>
        <v>2.5</v>
      </c>
      <c r="I11" s="46">
        <f>=1</f>
        <v>1</v>
      </c>
      <c r="J11" s="46" t="s"/>
      <c r="K11" s="46" t="s"/>
      <c r="L11" s="46" t="s"/>
      <c r="M11" s="46" t="s"/>
      <c r="N11" s="46" t="s"/>
      <c r="O11" s="46" t="s"/>
      <c r="P11" s="46" t="s"/>
      <c r="Q11" s="46" t="s"/>
      <c r="R11" s="52" t="s"/>
    </row>
    <row r="12" spans="1:18" ht="22.5" customHeight="true">
      <c r="A12" s="44" t="s"/>
      <c r="B12" s="45" t="s">
        <v>24</v>
      </c>
      <c r="C12" s="46" t="s">
        <v>53</v>
      </c>
      <c r="D12" s="51" t="s"/>
      <c r="E12" s="42">
        <f>=F12+G12+H12+I12+J12+K12+L12+M12+N12+O12+P12+Q12</f>
        <v>8</v>
      </c>
      <c r="F12" s="46" t="s"/>
      <c r="G12" s="46">
        <f>=2+5</f>
        <v>7</v>
      </c>
      <c r="H12" s="46" t="s"/>
      <c r="I12" s="46">
        <f>=1</f>
        <v>1</v>
      </c>
      <c r="J12" s="46" t="s"/>
      <c r="K12" s="46" t="s"/>
      <c r="L12" s="46" t="s"/>
      <c r="M12" s="46" t="s"/>
      <c r="N12" s="46" t="s"/>
      <c r="O12" s="46" t="s"/>
      <c r="P12" s="46" t="s"/>
      <c r="Q12" s="46" t="s"/>
      <c r="R12" s="43" t="s"/>
    </row>
    <row r="13" spans="1:18" ht="22.5" customHeight="true">
      <c r="A13" s="44" t="s"/>
      <c r="B13" s="49" t="s">
        <v>37</v>
      </c>
      <c r="C13" s="50" t="s">
        <v>54</v>
      </c>
      <c r="D13" s="51" t="s"/>
      <c r="E13" s="42">
        <f>=F13+G13+H13+I13+J13+K13+L13+M13+N13+O13+P13+Q13</f>
        <v>7</v>
      </c>
      <c r="F13" s="50" t="s"/>
      <c r="G13" s="50">
        <f>=2+5</f>
        <v>7</v>
      </c>
      <c r="H13" s="50" t="s"/>
      <c r="I13" s="50" t="s"/>
      <c r="J13" s="50" t="s"/>
      <c r="K13" s="50" t="s"/>
      <c r="L13" s="50" t="s"/>
      <c r="M13" s="50" t="s"/>
      <c r="N13" s="50" t="s"/>
      <c r="O13" s="50" t="s"/>
      <c r="P13" s="50" t="s"/>
      <c r="Q13" s="50" t="s"/>
      <c r="R13" s="43" t="s"/>
    </row>
    <row r="14" spans="1:18" ht="22.5" customHeight="true">
      <c r="A14" s="44" t="s"/>
      <c r="B14" s="45" t="s">
        <v>25</v>
      </c>
      <c r="C14" s="46" t="s">
        <v>55</v>
      </c>
      <c r="D14" s="47" t="s"/>
      <c r="E14" s="48">
        <f>=F14+G14+H14+I14+J14+K14+L14+M14+N14+O14+P14+Q14</f>
        <v>8</v>
      </c>
      <c r="F14" s="46" t="s"/>
      <c r="G14" s="46">
        <f>=5</f>
        <v>5</v>
      </c>
      <c r="H14" s="46">
        <f>=2</f>
        <v>2</v>
      </c>
      <c r="I14" s="46">
        <f>=1</f>
        <v>1</v>
      </c>
      <c r="J14" s="46" t="s"/>
      <c r="K14" s="46" t="s"/>
      <c r="L14" s="46" t="s"/>
      <c r="M14" s="46" t="s"/>
      <c r="N14" s="46" t="s"/>
      <c r="O14" s="46" t="s"/>
      <c r="P14" s="46" t="s"/>
      <c r="Q14" s="46" t="s"/>
      <c r="R14" s="43" t="s"/>
    </row>
    <row r="15" spans="1:18" ht="22.5" customHeight="true">
      <c r="A15" s="44" t="s"/>
      <c r="B15" s="45" t="s">
        <v>30</v>
      </c>
      <c r="C15" s="46" t="s">
        <v>56</v>
      </c>
      <c r="D15" s="51" t="s"/>
      <c r="E15" s="48">
        <f>=F15+G15+H15+I15+J15+K15+L15+M15+N15+O15+P15+Q15</f>
        <v>7</v>
      </c>
      <c r="F15" s="46" t="s"/>
      <c r="G15" s="46" t="s"/>
      <c r="H15" s="46">
        <f>=2+4</f>
        <v>6</v>
      </c>
      <c r="I15" s="46">
        <f>=1</f>
        <v>1</v>
      </c>
      <c r="J15" s="46" t="s"/>
      <c r="K15" s="46" t="s"/>
      <c r="L15" s="46" t="s"/>
      <c r="M15" s="46" t="s"/>
      <c r="N15" s="46" t="s"/>
      <c r="O15" s="46" t="s"/>
      <c r="P15" s="46" t="s"/>
      <c r="Q15" s="46" t="s"/>
      <c r="R15" s="43" t="s"/>
    </row>
    <row r="16" spans="1:18" ht="22.5" customHeight="true">
      <c r="A16" s="53" t="s"/>
      <c r="B16" s="45" t="s">
        <v>14</v>
      </c>
      <c r="C16" s="46" t="s">
        <v>57</v>
      </c>
      <c r="D16" s="47" t="s"/>
      <c r="E16" s="54">
        <f>=F16+G16+H16+I16+J16+K16+L16+M16+N16+O16+P16+Q16</f>
        <v>5</v>
      </c>
      <c r="F16" s="46" t="s"/>
      <c r="G16" s="46" t="s"/>
      <c r="H16" s="46">
        <f>=5</f>
        <v>5</v>
      </c>
      <c r="I16" s="46" t="s"/>
      <c r="J16" s="46" t="s"/>
      <c r="K16" s="46" t="s"/>
      <c r="L16" s="46" t="s"/>
      <c r="M16" s="46" t="s"/>
      <c r="N16" s="46" t="s"/>
      <c r="O16" s="46" t="s"/>
      <c r="P16" s="46" t="s"/>
      <c r="Q16" s="46" t="s"/>
      <c r="R16" s="43" t="s"/>
    </row>
    <row r="17" spans="1:18" ht="22.5" customHeight="true">
      <c r="A17" s="53" t="s"/>
      <c r="B17" s="49" t="s">
        <v>25</v>
      </c>
      <c r="C17" s="50" t="s">
        <v>58</v>
      </c>
      <c r="D17" s="51" t="s"/>
      <c r="E17" s="48">
        <f>=F17+G17+H17+I17+J17+K17+L17+M17+N17+O17+P17+Q17</f>
        <v>6</v>
      </c>
      <c r="F17" s="46" t="s"/>
      <c r="G17" s="46">
        <f>=5</f>
        <v>5</v>
      </c>
      <c r="H17" s="46" t="s"/>
      <c r="I17" s="46">
        <f>=1</f>
        <v>1</v>
      </c>
      <c r="J17" s="46" t="s"/>
      <c r="K17" s="46" t="s"/>
      <c r="L17" s="46" t="s"/>
      <c r="M17" s="46" t="s"/>
      <c r="N17" s="46" t="s"/>
      <c r="O17" s="46" t="s"/>
      <c r="P17" s="46" t="s"/>
      <c r="Q17" s="46" t="s"/>
      <c r="R17" s="43" t="s"/>
    </row>
    <row r="18" spans="1:18" ht="22.5" customHeight="true">
      <c r="A18" s="44" t="s"/>
      <c r="B18" s="45" t="s">
        <v>25</v>
      </c>
      <c r="C18" s="46" t="s">
        <v>59</v>
      </c>
      <c r="D18" s="51" t="s"/>
      <c r="E18" s="42">
        <f>=F18+G18+H18+I18+J18+K18+L18+M18+N18+O18+P18+Q18</f>
        <v>6</v>
      </c>
      <c r="F18" s="46" t="s"/>
      <c r="G18" s="46">
        <f>=2</f>
        <v>2</v>
      </c>
      <c r="H18" s="46">
        <f>=2+1</f>
        <v>3</v>
      </c>
      <c r="I18" s="46">
        <f>=1</f>
        <v>1</v>
      </c>
      <c r="J18" s="46" t="s"/>
      <c r="K18" s="46" t="s"/>
      <c r="L18" s="46" t="s"/>
      <c r="M18" s="46" t="s"/>
      <c r="N18" s="46" t="s"/>
      <c r="O18" s="46" t="s"/>
      <c r="P18" s="46" t="s"/>
      <c r="Q18" s="46" t="s"/>
      <c r="R18" s="43" t="s"/>
    </row>
    <row r="19" spans="1:18" ht="22.5" customHeight="true">
      <c r="A19" s="44" t="s"/>
      <c r="B19" s="39" t="s">
        <v>14</v>
      </c>
      <c r="C19" s="40" t="s">
        <v>60</v>
      </c>
      <c r="D19" s="41" t="s"/>
      <c r="E19" s="48">
        <f>=F19+G19+H19+I19+J19+K19+L19+M19+N19+O19+P19+Q19</f>
        <v>4</v>
      </c>
      <c r="F19" s="40" t="s"/>
      <c r="G19" s="40">
        <f>=2</f>
        <v>2</v>
      </c>
      <c r="H19" s="40">
        <f>=2</f>
        <v>2</v>
      </c>
      <c r="I19" s="40" t="s"/>
      <c r="J19" s="40" t="s"/>
      <c r="K19" s="40" t="s"/>
      <c r="L19" s="40" t="s"/>
      <c r="M19" s="40" t="s"/>
      <c r="N19" s="40" t="s"/>
      <c r="O19" s="40" t="s"/>
      <c r="P19" s="40" t="s"/>
      <c r="Q19" s="40" t="s"/>
      <c r="R19" s="52" t="s"/>
    </row>
    <row r="20" spans="1:18" ht="22.5" customHeight="true">
      <c r="A20" s="44" t="s"/>
      <c r="B20" s="49" t="s">
        <v>25</v>
      </c>
      <c r="C20" s="46" t="s">
        <v>61</v>
      </c>
      <c r="D20" s="51" t="s"/>
      <c r="E20" s="42">
        <f>=F20+G20+H20+I20+J20+K20+L20+M20+N20+O20+P20+Q20</f>
        <v>4</v>
      </c>
      <c r="F20" s="46" t="s"/>
      <c r="G20" s="46" t="s"/>
      <c r="H20" s="46">
        <f>=2+2</f>
        <v>4</v>
      </c>
      <c r="I20" s="46" t="s"/>
      <c r="J20" s="46" t="s"/>
      <c r="K20" s="46" t="s"/>
      <c r="L20" s="46" t="s"/>
      <c r="M20" s="46" t="s"/>
      <c r="N20" s="46" t="s"/>
      <c r="O20" s="46" t="s"/>
      <c r="P20" s="46" t="s"/>
      <c r="Q20" s="46" t="s"/>
      <c r="R20" s="43" t="s"/>
    </row>
    <row r="21" spans="1:18" ht="22.5" customHeight="true">
      <c r="A21" s="44" t="s"/>
      <c r="B21" s="45" t="s">
        <v>25</v>
      </c>
      <c r="C21" s="46" t="s">
        <v>62</v>
      </c>
      <c r="D21" s="51" t="s"/>
      <c r="E21" s="48">
        <f>=F21+G21+H21+I21+J21+K21+L21+M21+N21+O21+P21+Q21</f>
        <v>4</v>
      </c>
      <c r="F21" s="46" t="s"/>
      <c r="G21" s="46" t="s"/>
      <c r="H21" s="46">
        <f>=2+1</f>
        <v>3</v>
      </c>
      <c r="I21" s="46">
        <f>=1</f>
        <v>1</v>
      </c>
      <c r="J21" s="46" t="s"/>
      <c r="K21" s="46" t="s"/>
      <c r="L21" s="46" t="s"/>
      <c r="M21" s="46" t="s"/>
      <c r="N21" s="46" t="s"/>
      <c r="O21" s="46" t="s"/>
      <c r="P21" s="46" t="s"/>
      <c r="Q21" s="46" t="s"/>
      <c r="R21" s="43" t="s"/>
    </row>
    <row r="22" spans="1:18" ht="22.5" customHeight="true">
      <c r="A22" s="38" t="s"/>
      <c r="B22" s="49" t="s">
        <v>30</v>
      </c>
      <c r="C22" s="40" t="s">
        <v>63</v>
      </c>
      <c r="D22" s="41" t="s"/>
      <c r="E22" s="42">
        <f>=F22+G22+H22+I22+J22+K22+L22+M22+N22+O22+P22+Q22</f>
        <v>4</v>
      </c>
      <c r="F22" s="40" t="s"/>
      <c r="G22" s="40" t="s"/>
      <c r="H22" s="40">
        <f>=2+1</f>
        <v>3</v>
      </c>
      <c r="I22" s="40">
        <f>=1</f>
        <v>1</v>
      </c>
      <c r="J22" s="40" t="s"/>
      <c r="K22" s="40" t="s"/>
      <c r="L22" s="40" t="s"/>
      <c r="M22" s="40" t="s"/>
      <c r="N22" s="40" t="s"/>
      <c r="O22" s="40" t="s"/>
      <c r="P22" s="40" t="s"/>
      <c r="Q22" s="40" t="s"/>
      <c r="R22" s="43" t="s"/>
    </row>
    <row r="23" spans="1:18" ht="22.5" customHeight="true">
      <c r="A23" s="44" t="s"/>
      <c r="B23" s="45" t="s">
        <v>64</v>
      </c>
      <c r="C23" s="46" t="s">
        <v>65</v>
      </c>
      <c r="D23" s="47" t="s"/>
      <c r="E23" s="42">
        <f>=F23+G23+H23+I23+J23+K23+L23+M23+N23+O23+P23+Q23</f>
        <v>3</v>
      </c>
      <c r="F23" s="46" t="s"/>
      <c r="G23" s="46" t="s"/>
      <c r="H23" s="46">
        <f>=3</f>
        <v>3</v>
      </c>
      <c r="I23" s="46" t="s"/>
      <c r="J23" s="46" t="s"/>
      <c r="K23" s="46" t="s"/>
      <c r="L23" s="46" t="s"/>
      <c r="M23" s="46" t="s"/>
      <c r="N23" s="46" t="s"/>
      <c r="O23" s="46" t="s"/>
      <c r="P23" s="46" t="s"/>
      <c r="Q23" s="46" t="s"/>
      <c r="R23" s="43" t="s"/>
    </row>
    <row r="24" spans="1:18" ht="22.5" customHeight="true">
      <c r="A24" s="44" t="s"/>
      <c r="B24" s="45" t="s">
        <v>64</v>
      </c>
      <c r="C24" s="46" t="s">
        <v>66</v>
      </c>
      <c r="D24" s="47" t="s"/>
      <c r="E24" s="48">
        <f>=F24+G24+H24+I24+J24+K24+L24+M24+N24+O24+P24+Q24</f>
        <v>4</v>
      </c>
      <c r="F24" s="46" t="s"/>
      <c r="G24" s="46" t="s"/>
      <c r="H24" s="46">
        <f>=3</f>
        <v>3</v>
      </c>
      <c r="I24" s="46">
        <f>=1</f>
        <v>1</v>
      </c>
      <c r="J24" s="46" t="s"/>
      <c r="K24" s="46" t="s"/>
      <c r="L24" s="46" t="s"/>
      <c r="M24" s="46" t="s"/>
      <c r="N24" s="46" t="s"/>
      <c r="O24" s="46" t="s"/>
      <c r="P24" s="46" t="s"/>
      <c r="Q24" s="46" t="s"/>
      <c r="R24" s="52" t="s"/>
    </row>
    <row r="25" spans="1:18" ht="22.5" customHeight="true">
      <c r="A25" s="38" t="s"/>
      <c r="B25" s="45" t="s">
        <v>67</v>
      </c>
      <c r="C25" s="46" t="s">
        <v>68</v>
      </c>
      <c r="D25" s="47" t="s"/>
      <c r="E25" s="48">
        <f>=F25+G25+H25+I25+J25+K25+L25+M25+N25+O25+P25+Q25</f>
        <v>4</v>
      </c>
      <c r="F25" s="46" t="s"/>
      <c r="G25" s="46" t="s"/>
      <c r="H25" s="46">
        <f>=3</f>
        <v>3</v>
      </c>
      <c r="I25" s="46">
        <f>=1</f>
        <v>1</v>
      </c>
      <c r="J25" s="46" t="s"/>
      <c r="K25" s="46" t="s"/>
      <c r="L25" s="46" t="s"/>
      <c r="M25" s="46" t="s"/>
      <c r="N25" s="46" t="s"/>
      <c r="O25" s="46" t="s"/>
      <c r="P25" s="46" t="s"/>
      <c r="Q25" s="46" t="s"/>
      <c r="R25" s="55" t="s"/>
    </row>
    <row r="26" spans="1:18" ht="22.5" customHeight="true">
      <c r="A26" s="53" t="s"/>
      <c r="B26" s="45" t="s">
        <v>12</v>
      </c>
      <c r="C26" s="46" t="s">
        <v>69</v>
      </c>
      <c r="D26" s="47" t="s"/>
      <c r="E26" s="54">
        <f>=F26+G26+H26+I26+J26+K26+L26+M26+N26+O26+P26+Q26</f>
        <v>3.5</v>
      </c>
      <c r="F26" s="46" t="s"/>
      <c r="G26" s="46" t="s"/>
      <c r="H26" s="46">
        <f>=2.5</f>
        <v>2.5</v>
      </c>
      <c r="I26" s="46">
        <f>=1</f>
        <v>1</v>
      </c>
      <c r="J26" s="46" t="s"/>
      <c r="K26" s="46" t="s"/>
      <c r="L26" s="46" t="s"/>
      <c r="M26" s="46" t="s"/>
      <c r="N26" s="46" t="s"/>
      <c r="O26" s="46" t="s"/>
      <c r="P26" s="46" t="s"/>
      <c r="Q26" s="46" t="s"/>
      <c r="R26" s="52" t="s"/>
    </row>
    <row r="27" spans="1:18" ht="22.5" customHeight="true">
      <c r="A27" s="44" t="s"/>
      <c r="B27" s="45" t="s">
        <v>32</v>
      </c>
      <c r="C27" s="46" t="s">
        <v>70</v>
      </c>
      <c r="D27" s="47" t="s"/>
      <c r="E27" s="48">
        <f>=F27+G27+H27+I27+J27+K27+L27+M27+N27+O27+P27+Q27</f>
        <v>3</v>
      </c>
      <c r="F27" s="46" t="s"/>
      <c r="G27" s="46" t="s"/>
      <c r="H27" s="46">
        <f>=2</f>
        <v>2</v>
      </c>
      <c r="I27" s="46">
        <f>=1</f>
        <v>1</v>
      </c>
      <c r="J27" s="46" t="s"/>
      <c r="K27" s="46" t="s"/>
      <c r="L27" s="46" t="s"/>
      <c r="M27" s="46" t="s"/>
      <c r="N27" s="46" t="s"/>
      <c r="O27" s="46" t="s"/>
      <c r="P27" s="46" t="s"/>
      <c r="Q27" s="46" t="s"/>
      <c r="R27" s="52" t="s"/>
    </row>
    <row r="28" spans="1:18" ht="22.5" customHeight="true">
      <c r="A28" s="44" t="s"/>
      <c r="B28" s="45" t="s">
        <v>30</v>
      </c>
      <c r="C28" s="46" t="s">
        <v>231</v>
      </c>
      <c r="D28" s="51" t="s"/>
      <c r="E28" s="42">
        <f>=F28+G28+H28+I28+J28+K28+L28+M28+N28+O28+P28+Q28</f>
        <v>3</v>
      </c>
      <c r="F28" s="46" t="s"/>
      <c r="G28" s="46" t="s"/>
      <c r="H28" s="46">
        <f>=2</f>
        <v>2</v>
      </c>
      <c r="I28" s="46">
        <f>=1</f>
        <v>1</v>
      </c>
      <c r="J28" s="46" t="s"/>
      <c r="K28" s="46" t="s"/>
      <c r="L28" s="46" t="s"/>
      <c r="M28" s="46" t="s"/>
      <c r="N28" s="46" t="s"/>
      <c r="O28" s="46" t="s"/>
      <c r="P28" s="46" t="s"/>
      <c r="Q28" s="46" t="s"/>
      <c r="R28" s="43" t="s"/>
    </row>
    <row r="29" spans="1:18" ht="22.5" customHeight="true">
      <c r="A29" s="44" t="s"/>
      <c r="B29" s="45" t="s">
        <v>30</v>
      </c>
      <c r="C29" s="46" t="s">
        <v>71</v>
      </c>
      <c r="D29" s="47" t="s"/>
      <c r="E29" s="48">
        <f>=F29+G29+H29+I29+J29+K29+L29+M29+N29+O29+P29+Q29</f>
        <v>3</v>
      </c>
      <c r="F29" s="46" t="s"/>
      <c r="G29" s="46" t="s"/>
      <c r="H29" s="46">
        <f>=2</f>
        <v>2</v>
      </c>
      <c r="I29" s="46">
        <f>=1</f>
        <v>1</v>
      </c>
      <c r="J29" s="46" t="s"/>
      <c r="K29" s="46" t="s"/>
      <c r="L29" s="46" t="s"/>
      <c r="M29" s="46" t="s"/>
      <c r="N29" s="46" t="s"/>
      <c r="O29" s="46" t="s"/>
      <c r="P29" s="46" t="s"/>
      <c r="Q29" s="46" t="s"/>
      <c r="R29" s="52" t="s"/>
    </row>
    <row r="30" spans="1:18" ht="22.5" customHeight="true">
      <c r="A30" s="44" t="s"/>
      <c r="B30" s="39" t="s">
        <v>30</v>
      </c>
      <c r="C30" s="40" t="s">
        <v>72</v>
      </c>
      <c r="D30" s="41" t="s"/>
      <c r="E30" s="54">
        <f>=F30+G30+H30+I30+J30+K30+L30+M30+N30+O30+P30+Q30</f>
        <v>3</v>
      </c>
      <c r="F30" s="40" t="s"/>
      <c r="G30" s="40" t="s"/>
      <c r="H30" s="40">
        <f>=2</f>
        <v>2</v>
      </c>
      <c r="I30" s="40">
        <f>=1</f>
        <v>1</v>
      </c>
      <c r="J30" s="40" t="s"/>
      <c r="K30" s="40" t="s"/>
      <c r="L30" s="40" t="s"/>
      <c r="M30" s="40" t="s"/>
      <c r="N30" s="40" t="s"/>
      <c r="O30" s="40" t="s"/>
      <c r="P30" s="40" t="s"/>
      <c r="Q30" s="40" t="s"/>
      <c r="R30" s="52" t="s"/>
    </row>
    <row r="31" spans="1:18" ht="22.5" customHeight="true">
      <c r="A31" s="44" t="s"/>
      <c r="B31" s="45" t="s">
        <v>30</v>
      </c>
      <c r="C31" s="46" t="s">
        <v>73</v>
      </c>
      <c r="D31" s="41" t="s"/>
      <c r="E31" s="42">
        <f>=F31+G31+H31+I31+J31+K31+L31+M31+N31+O31+P31+Q31</f>
        <v>3</v>
      </c>
      <c r="F31" s="40" t="s"/>
      <c r="G31" s="40" t="s"/>
      <c r="H31" s="40">
        <f>=2</f>
        <v>2</v>
      </c>
      <c r="I31" s="40">
        <f>=1</f>
        <v>1</v>
      </c>
      <c r="J31" s="40" t="s"/>
      <c r="K31" s="40" t="s"/>
      <c r="L31" s="40" t="s"/>
      <c r="M31" s="40" t="s"/>
      <c r="N31" s="40" t="s"/>
      <c r="O31" s="40" t="s"/>
      <c r="P31" s="40" t="s"/>
      <c r="Q31" s="40" t="s"/>
      <c r="R31" s="43" t="s"/>
    </row>
    <row r="32" spans="1:18" ht="22.5" customHeight="true">
      <c r="A32" s="44" t="s"/>
      <c r="B32" s="45" t="s">
        <v>74</v>
      </c>
      <c r="C32" s="46" t="s">
        <v>75</v>
      </c>
      <c r="D32" s="41" t="s"/>
      <c r="E32" s="42">
        <f>=F32+G32+H32+I32+J32+K32+L32+M32+N32+O32+P32+Q32</f>
        <v>3</v>
      </c>
      <c r="F32" s="40" t="s"/>
      <c r="G32" s="40" t="s"/>
      <c r="H32" s="40">
        <f>=2</f>
        <v>2</v>
      </c>
      <c r="I32" s="40">
        <f>=1</f>
        <v>1</v>
      </c>
      <c r="J32" s="40" t="s"/>
      <c r="K32" s="40" t="s"/>
      <c r="L32" s="40" t="s"/>
      <c r="M32" s="40" t="s"/>
      <c r="N32" s="40" t="s"/>
      <c r="O32" s="40" t="s"/>
      <c r="P32" s="40" t="s"/>
      <c r="Q32" s="40" t="s"/>
      <c r="R32" s="55" t="s"/>
    </row>
    <row r="33" spans="1:18" ht="22.5" customHeight="true">
      <c r="A33" s="44" t="s"/>
      <c r="B33" s="45" t="s">
        <v>35</v>
      </c>
      <c r="C33" s="46" t="s">
        <v>76</v>
      </c>
      <c r="D33" s="47" t="s"/>
      <c r="E33" s="48">
        <f>=F33+G33+H33+I33+J33+K33+L33+M33+N33+O33+P33+Q33</f>
        <v>2</v>
      </c>
      <c r="F33" s="46" t="s"/>
      <c r="G33" s="46" t="s"/>
      <c r="H33" s="46">
        <f>=2</f>
        <v>2</v>
      </c>
      <c r="I33" s="46" t="s"/>
      <c r="J33" s="46" t="s"/>
      <c r="K33" s="46" t="s"/>
      <c r="L33" s="46" t="s"/>
      <c r="M33" s="46" t="s"/>
      <c r="N33" s="46" t="s"/>
      <c r="O33" s="46" t="s"/>
      <c r="P33" s="46" t="s"/>
      <c r="Q33" s="46" t="s"/>
      <c r="R33" s="43" t="s"/>
    </row>
    <row r="34" spans="1:18" ht="22.5" customHeight="true">
      <c r="A34" s="44" t="s"/>
      <c r="B34" s="45" t="s">
        <v>30</v>
      </c>
      <c r="C34" s="46" t="s">
        <v>77</v>
      </c>
      <c r="D34" s="51" t="s"/>
      <c r="E34" s="42">
        <f>=F34+G34+H34+I34+J34+K34+L34+M34+N34+O34+P34+Q34</f>
        <v>2</v>
      </c>
      <c r="F34" s="46" t="s"/>
      <c r="G34" s="46" t="s"/>
      <c r="H34" s="46">
        <f>=2</f>
        <v>2</v>
      </c>
      <c r="I34" s="46" t="s"/>
      <c r="J34" s="46" t="s"/>
      <c r="K34" s="46" t="s"/>
      <c r="L34" s="46" t="s"/>
      <c r="M34" s="46" t="s"/>
      <c r="N34" s="46" t="s"/>
      <c r="O34" s="46" t="s"/>
      <c r="P34" s="46" t="s"/>
      <c r="Q34" s="46" t="s"/>
      <c r="R34" s="43" t="s"/>
    </row>
    <row r="35" spans="1:18" ht="22.5" customHeight="true">
      <c r="A35" s="38" t="s"/>
      <c r="B35" s="45" t="s">
        <v>30</v>
      </c>
      <c r="C35" s="46" t="s">
        <v>78</v>
      </c>
      <c r="D35" s="47" t="s"/>
      <c r="E35" s="48">
        <f>=F35+G35+H35+I35+J35+K35+L35+M35+N35+O35+P35+Q35</f>
        <v>2</v>
      </c>
      <c r="F35" s="46" t="s"/>
      <c r="G35" s="46" t="s"/>
      <c r="H35" s="46">
        <f>=2</f>
        <v>2</v>
      </c>
      <c r="I35" s="46" t="s"/>
      <c r="J35" s="46" t="s"/>
      <c r="K35" s="46" t="s"/>
      <c r="L35" s="46" t="s"/>
      <c r="M35" s="46" t="s"/>
      <c r="N35" s="46" t="s"/>
      <c r="O35" s="46" t="s"/>
      <c r="P35" s="46" t="s"/>
      <c r="Q35" s="46" t="s"/>
      <c r="R35" s="52" t="s"/>
    </row>
    <row r="36" spans="1:18" ht="22.5" customHeight="true">
      <c r="A36" s="38" t="s"/>
      <c r="B36" s="39" t="s">
        <v>30</v>
      </c>
      <c r="C36" s="40" t="s">
        <v>79</v>
      </c>
      <c r="D36" s="56" t="s"/>
      <c r="E36" s="42">
        <f>=F36+G36+H36+I36+J36+K36+L36+M36+N36+O36+P36+Q36</f>
        <v>2</v>
      </c>
      <c r="F36" s="40" t="s"/>
      <c r="G36" s="40" t="s"/>
      <c r="H36" s="40">
        <f>=2</f>
        <v>2</v>
      </c>
      <c r="I36" s="40" t="s"/>
      <c r="J36" s="40" t="s"/>
      <c r="K36" s="40" t="s"/>
      <c r="L36" s="40" t="s"/>
      <c r="M36" s="40" t="s"/>
      <c r="N36" s="40" t="s"/>
      <c r="O36" s="40" t="s"/>
      <c r="P36" s="40" t="s"/>
      <c r="Q36" s="40" t="s"/>
      <c r="R36" s="43" t="s"/>
    </row>
    <row r="37" spans="1:18" ht="22.5" customHeight="true">
      <c r="A37" s="44" t="s"/>
      <c r="B37" s="39" t="s">
        <v>30</v>
      </c>
      <c r="C37" s="40" t="s">
        <v>80</v>
      </c>
      <c r="D37" s="41" t="s"/>
      <c r="E37" s="42">
        <f>=F37+G37+H37+I37+J37+K37+L37+M37+N37+O37+P37+Q37</f>
        <v>2</v>
      </c>
      <c r="F37" s="40" t="s"/>
      <c r="G37" s="40" t="s"/>
      <c r="H37" s="40">
        <f>=2</f>
        <v>2</v>
      </c>
      <c r="I37" s="40" t="s"/>
      <c r="J37" s="40" t="s"/>
      <c r="K37" s="40" t="s"/>
      <c r="L37" s="40" t="s"/>
      <c r="M37" s="40" t="s"/>
      <c r="N37" s="40" t="s"/>
      <c r="O37" s="40" t="s"/>
      <c r="P37" s="40" t="s"/>
      <c r="Q37" s="40" t="s"/>
      <c r="R37" s="43" t="s"/>
    </row>
    <row r="38" spans="1:18" ht="22.5" customHeight="true">
      <c r="A38" s="44" t="s"/>
      <c r="B38" s="45" t="s">
        <v>30</v>
      </c>
      <c r="C38" s="46" t="s">
        <v>81</v>
      </c>
      <c r="D38" s="41" t="s"/>
      <c r="E38" s="48">
        <f>=F38+G38+H38+I38+J38+K38+L38+M38+N38+O38+P38+Q38</f>
        <v>2</v>
      </c>
      <c r="F38" s="40" t="s"/>
      <c r="G38" s="40" t="s"/>
      <c r="H38" s="40">
        <f>=2</f>
        <v>2</v>
      </c>
      <c r="I38" s="40" t="s"/>
      <c r="J38" s="40" t="s"/>
      <c r="K38" s="40" t="s"/>
      <c r="L38" s="40" t="s"/>
      <c r="M38" s="40" t="s"/>
      <c r="N38" s="40" t="s"/>
      <c r="O38" s="40" t="s"/>
      <c r="P38" s="40" t="s"/>
      <c r="Q38" s="40" t="s"/>
      <c r="R38" s="43" t="s"/>
    </row>
    <row r="39" spans="1:18" ht="22.5" customHeight="true">
      <c r="A39" s="38" t="s"/>
      <c r="B39" s="45" t="s">
        <v>30</v>
      </c>
      <c r="C39" s="46" t="s">
        <v>82</v>
      </c>
      <c r="D39" s="41" t="s"/>
      <c r="E39" s="42">
        <f>=F39+G39+H39+I39+J39+K39+L39+M39+N39+O39+P39+Q39</f>
        <v>2</v>
      </c>
      <c r="F39" s="40" t="s"/>
      <c r="G39" s="40" t="s"/>
      <c r="H39" s="40">
        <f>=2</f>
        <v>2</v>
      </c>
      <c r="I39" s="40" t="s"/>
      <c r="J39" s="40" t="s"/>
      <c r="K39" s="40" t="s"/>
      <c r="L39" s="40" t="s"/>
      <c r="M39" s="40" t="s"/>
      <c r="N39" s="40" t="s"/>
      <c r="O39" s="40" t="s"/>
      <c r="P39" s="40" t="s"/>
      <c r="Q39" s="40" t="s"/>
      <c r="R39" s="55" t="s"/>
    </row>
    <row r="40" spans="1:18" ht="22.5" customHeight="true">
      <c r="A40" s="44" t="s"/>
      <c r="B40" s="45" t="s">
        <v>67</v>
      </c>
      <c r="C40" s="46" t="s">
        <v>83</v>
      </c>
      <c r="D40" s="47" t="s"/>
      <c r="E40" s="42">
        <f>=F40+G40+H40+I40+J40+K40+L40+M40+N40+O40+P40+Q40</f>
        <v>2</v>
      </c>
      <c r="F40" s="46" t="s"/>
      <c r="G40" s="46" t="s"/>
      <c r="H40" s="46">
        <f>=2</f>
        <v>2</v>
      </c>
      <c r="I40" s="46" t="s"/>
      <c r="J40" s="46" t="s"/>
      <c r="K40" s="46" t="s"/>
      <c r="L40" s="46" t="s"/>
      <c r="M40" s="46" t="s"/>
      <c r="N40" s="46" t="s"/>
      <c r="O40" s="46" t="s"/>
      <c r="P40" s="46" t="s"/>
      <c r="Q40" s="46" t="s"/>
      <c r="R40" s="52" t="s"/>
    </row>
    <row r="41" spans="1:18" ht="22.5" customHeight="true">
      <c r="A41" s="44" t="s"/>
      <c r="B41" s="45" t="s">
        <v>17</v>
      </c>
      <c r="C41" s="46" t="s">
        <v>84</v>
      </c>
      <c r="D41" s="47" t="s"/>
      <c r="E41" s="48">
        <f>=F41+G41+H41+I41+J41+K41+L41+M41+N41+O41+P41+Q41</f>
        <v>3</v>
      </c>
      <c r="F41" s="46" t="s"/>
      <c r="G41" s="46" t="s"/>
      <c r="H41" s="46">
        <f>=2</f>
        <v>2</v>
      </c>
      <c r="I41" s="46">
        <f>=1</f>
        <v>1</v>
      </c>
      <c r="J41" s="46" t="s"/>
      <c r="K41" s="46" t="s"/>
      <c r="L41" s="46" t="s"/>
      <c r="M41" s="46" t="s"/>
      <c r="N41" s="46" t="s"/>
      <c r="O41" s="46" t="s"/>
      <c r="P41" s="46" t="s"/>
      <c r="Q41" s="46" t="s"/>
      <c r="R41" s="52" t="s"/>
    </row>
    <row r="42" spans="1:18" ht="22.5" customHeight="true">
      <c r="A42" s="44" t="s"/>
      <c r="B42" s="45" t="s">
        <v>25</v>
      </c>
      <c r="C42" s="46" t="s">
        <v>85</v>
      </c>
      <c r="D42" s="41" t="s"/>
      <c r="E42" s="48">
        <f>=F42+G42+H42+I42+J42+K42+L42+M42+N42+O42+P42+Q42</f>
        <v>2</v>
      </c>
      <c r="F42" s="40" t="s"/>
      <c r="G42" s="40" t="s"/>
      <c r="H42" s="40">
        <f>=2</f>
        <v>2</v>
      </c>
      <c r="I42" s="40" t="s"/>
      <c r="J42" s="40" t="s"/>
      <c r="K42" s="40" t="s"/>
      <c r="L42" s="40" t="s"/>
      <c r="M42" s="40" t="s"/>
      <c r="N42" s="40" t="s"/>
      <c r="O42" s="40" t="s"/>
      <c r="P42" s="40" t="s"/>
      <c r="Q42" s="40" t="s"/>
      <c r="R42" s="43" t="s"/>
    </row>
    <row r="43" spans="1:18" ht="22.5" customHeight="true">
      <c r="A43" s="44" t="s"/>
      <c r="B43" s="45" t="s">
        <v>30</v>
      </c>
      <c r="C43" s="46" t="s">
        <v>86</v>
      </c>
      <c r="D43" s="41" t="s"/>
      <c r="E43" s="42">
        <f>=F43+G43+H43+I43+J43+K43+L43+M43+N43+O43+P43+Q43</f>
        <v>2</v>
      </c>
      <c r="F43" s="40" t="s"/>
      <c r="G43" s="40" t="s"/>
      <c r="H43" s="40">
        <f>=2</f>
        <v>2</v>
      </c>
      <c r="I43" s="40" t="s"/>
      <c r="J43" s="40" t="s"/>
      <c r="K43" s="40" t="s"/>
      <c r="L43" s="40" t="s"/>
      <c r="M43" s="40" t="s"/>
      <c r="N43" s="40" t="s"/>
      <c r="O43" s="40" t="s"/>
      <c r="P43" s="40" t="s"/>
      <c r="Q43" s="40" t="s"/>
      <c r="R43" s="52" t="s"/>
    </row>
    <row r="44" spans="1:18" ht="22.5" customHeight="true">
      <c r="A44" s="44" t="s"/>
      <c r="B44" s="45" t="s">
        <v>30</v>
      </c>
      <c r="C44" s="46" t="s">
        <v>87</v>
      </c>
      <c r="D44" s="41" t="s"/>
      <c r="E44" s="42">
        <f>=F44+G44+H44+I44+J44+K44+L44+M44+N44+O44+P44+Q44</f>
        <v>2</v>
      </c>
      <c r="F44" s="40" t="s"/>
      <c r="G44" s="40" t="s"/>
      <c r="H44" s="40">
        <f>=2</f>
        <v>2</v>
      </c>
      <c r="I44" s="40" t="s"/>
      <c r="J44" s="40" t="s"/>
      <c r="K44" s="40" t="s"/>
      <c r="L44" s="40" t="s"/>
      <c r="M44" s="40" t="s"/>
      <c r="N44" s="40" t="s"/>
      <c r="O44" s="40" t="s"/>
      <c r="P44" s="40" t="s"/>
      <c r="Q44" s="40" t="s"/>
      <c r="R44" s="43" t="s"/>
    </row>
    <row r="45" spans="1:18" ht="22.5" customHeight="true">
      <c r="A45" s="38" t="s"/>
      <c r="B45" s="45" t="s">
        <v>30</v>
      </c>
      <c r="C45" s="46" t="s">
        <v>88</v>
      </c>
      <c r="D45" s="47" t="s"/>
      <c r="E45" s="42">
        <f>=F45+G45+H45+I45+J45+K45+L45+M45+N45+O45+P45+Q45</f>
        <v>3</v>
      </c>
      <c r="F45" s="46" t="s"/>
      <c r="G45" s="46" t="s"/>
      <c r="H45" s="46">
        <f>=2</f>
        <v>2</v>
      </c>
      <c r="I45" s="46">
        <f>=1</f>
        <v>1</v>
      </c>
      <c r="J45" s="46" t="s"/>
      <c r="K45" s="46" t="s"/>
      <c r="L45" s="46" t="s"/>
      <c r="M45" s="46" t="s"/>
      <c r="N45" s="46" t="s"/>
      <c r="O45" s="46" t="s"/>
      <c r="P45" s="46" t="s"/>
      <c r="Q45" s="46" t="s"/>
      <c r="R45" s="52" t="s"/>
    </row>
    <row r="46" spans="1:18" ht="22.5" customHeight="true">
      <c r="A46" s="38" t="s"/>
      <c r="B46" s="45" t="s">
        <v>32</v>
      </c>
      <c r="C46" s="46" t="s">
        <v>89</v>
      </c>
      <c r="D46" s="47" t="s"/>
      <c r="E46" s="48">
        <f>=F46+G46+H46+I46+J46+K46+L46+M46+N46+O46+P46+Q46</f>
        <v>3</v>
      </c>
      <c r="F46" s="46" t="s"/>
      <c r="G46" s="46" t="s"/>
      <c r="H46" s="46">
        <f>=2</f>
        <v>2</v>
      </c>
      <c r="I46" s="46">
        <f>=1</f>
        <v>1</v>
      </c>
      <c r="J46" s="46" t="s"/>
      <c r="K46" s="46" t="s"/>
      <c r="L46" s="46" t="s"/>
      <c r="M46" s="46" t="s"/>
      <c r="N46" s="46" t="s"/>
      <c r="O46" s="46" t="s"/>
      <c r="P46" s="46" t="s"/>
      <c r="Q46" s="46" t="s"/>
      <c r="R46" s="55" t="s"/>
    </row>
    <row r="47" spans="1:18" ht="22.5" customHeight="true">
      <c r="A47" s="38" t="s"/>
      <c r="B47" s="39" t="s">
        <v>30</v>
      </c>
      <c r="C47" s="40" t="s">
        <v>90</v>
      </c>
      <c r="D47" s="41" t="s"/>
      <c r="E47" s="42">
        <f>=F47+G47+H47+I47+J47+K47+L47+M47+N47+O47+P47+Q47</f>
        <v>3</v>
      </c>
      <c r="F47" s="40" t="s"/>
      <c r="G47" s="40" t="s"/>
      <c r="H47" s="40">
        <f>=2</f>
        <v>2</v>
      </c>
      <c r="I47" s="40">
        <f>=1</f>
        <v>1</v>
      </c>
      <c r="J47" s="40" t="s"/>
      <c r="K47" s="40" t="s"/>
      <c r="L47" s="40" t="s"/>
      <c r="M47" s="40" t="s"/>
      <c r="N47" s="40" t="s"/>
      <c r="O47" s="40" t="s"/>
      <c r="P47" s="40" t="s"/>
      <c r="Q47" s="40" t="s"/>
      <c r="R47" s="55" t="s"/>
    </row>
    <row r="48" spans="1:18" ht="22.5" customHeight="true">
      <c r="A48" s="44" t="s"/>
      <c r="B48" s="45" t="s">
        <v>30</v>
      </c>
      <c r="C48" s="46" t="s">
        <v>91</v>
      </c>
      <c r="D48" s="47" t="s"/>
      <c r="E48" s="42">
        <f>=F48+G48+H48+I48+J48+K48+L48+M48+N48+O48+P48+Q48</f>
        <v>2</v>
      </c>
      <c r="F48" s="46" t="s"/>
      <c r="G48" s="46" t="s"/>
      <c r="H48" s="46">
        <f>=2</f>
        <v>2</v>
      </c>
      <c r="I48" s="46" t="s"/>
      <c r="J48" s="46" t="s"/>
      <c r="K48" s="46" t="s"/>
      <c r="L48" s="46" t="s"/>
      <c r="M48" s="46" t="s"/>
      <c r="N48" s="46" t="s"/>
      <c r="O48" s="46" t="s"/>
      <c r="P48" s="46" t="s"/>
      <c r="Q48" s="46" t="s"/>
      <c r="R48" s="43" t="s"/>
    </row>
    <row r="49" spans="1:18" ht="22.5" customHeight="true">
      <c r="A49" s="38" t="s"/>
      <c r="B49" s="45" t="s">
        <v>30</v>
      </c>
      <c r="C49" s="46" t="s">
        <v>92</v>
      </c>
      <c r="D49" s="41" t="s"/>
      <c r="E49" s="42">
        <f>=F49+G49+H49+I49+J49+K49+L49+M49+N49+O49+P49+Q49</f>
        <v>2</v>
      </c>
      <c r="F49" s="40" t="s"/>
      <c r="G49" s="40" t="s"/>
      <c r="H49" s="40">
        <f>=2</f>
        <v>2</v>
      </c>
      <c r="I49" s="40" t="s"/>
      <c r="J49" s="40" t="s"/>
      <c r="K49" s="40" t="s"/>
      <c r="L49" s="40" t="s"/>
      <c r="M49" s="40" t="s"/>
      <c r="N49" s="40" t="s"/>
      <c r="O49" s="40" t="s"/>
      <c r="P49" s="40" t="s"/>
      <c r="Q49" s="40" t="s"/>
      <c r="R49" s="43" t="s"/>
    </row>
    <row r="50" spans="1:18" ht="22.5" customHeight="true">
      <c r="A50" s="44" t="s"/>
      <c r="B50" s="45" t="s">
        <v>37</v>
      </c>
      <c r="C50" s="46" t="s">
        <v>93</v>
      </c>
      <c r="D50" s="47" t="s"/>
      <c r="E50" s="48">
        <f>=F50+G50+H50+I50+J50+K50+L50+M50+N50+O50+P50+Q50</f>
        <v>2</v>
      </c>
      <c r="F50" s="46" t="s"/>
      <c r="G50" s="46" t="s"/>
      <c r="H50" s="46">
        <f>=2</f>
        <v>2</v>
      </c>
      <c r="I50" s="46" t="s"/>
      <c r="J50" s="46" t="s"/>
      <c r="K50" s="46" t="s"/>
      <c r="L50" s="46" t="s"/>
      <c r="M50" s="46" t="s"/>
      <c r="N50" s="46" t="s"/>
      <c r="O50" s="46" t="s"/>
      <c r="P50" s="46" t="s"/>
      <c r="Q50" s="46" t="s"/>
      <c r="R50" s="52" t="s"/>
    </row>
    <row r="51" spans="1:18" ht="22.5" customHeight="true">
      <c r="A51" s="44" t="s"/>
      <c r="B51" s="49" t="s">
        <v>25</v>
      </c>
      <c r="C51" s="50" t="s">
        <v>94</v>
      </c>
      <c r="D51" s="56" t="s"/>
      <c r="E51" s="48">
        <f>=F51+G51+H51+I51+J51+K51+L51+M51+N51+O51+P51+Q51</f>
        <v>2</v>
      </c>
      <c r="F51" s="57" t="s"/>
      <c r="G51" s="57" t="s"/>
      <c r="H51" s="57">
        <f>=2</f>
        <v>2</v>
      </c>
      <c r="I51" s="57" t="s"/>
      <c r="J51" s="57" t="s"/>
      <c r="K51" s="57" t="s"/>
      <c r="L51" s="57" t="s"/>
      <c r="M51" s="57" t="s"/>
      <c r="N51" s="57" t="s"/>
      <c r="O51" s="57" t="s"/>
      <c r="P51" s="57" t="s"/>
      <c r="Q51" s="57" t="s"/>
      <c r="R51" s="55" t="s"/>
    </row>
    <row r="52" spans="1:18" ht="22.5" customHeight="true">
      <c r="A52" s="38" t="s"/>
      <c r="B52" s="45" t="s">
        <v>35</v>
      </c>
      <c r="C52" s="46" t="s">
        <v>95</v>
      </c>
      <c r="D52" s="51" t="s"/>
      <c r="E52" s="42">
        <f>=F52+G52+H52+I52+J52+K52+L52+M52+N52+O52+P52+Q52</f>
        <v>1</v>
      </c>
      <c r="F52" s="46" t="s"/>
      <c r="G52" s="46" t="s"/>
      <c r="H52" s="46">
        <f>=1</f>
        <v>1</v>
      </c>
      <c r="I52" s="46" t="s"/>
      <c r="J52" s="46" t="s"/>
      <c r="K52" s="46" t="s"/>
      <c r="L52" s="46" t="s"/>
      <c r="M52" s="46" t="s"/>
      <c r="N52" s="46" t="s"/>
      <c r="O52" s="46" t="s"/>
      <c r="P52" s="46" t="s"/>
      <c r="Q52" s="46" t="s"/>
      <c r="R52" s="52" t="s"/>
    </row>
    <row r="53" spans="1:18" ht="22.5" customHeight="true">
      <c r="A53" s="58" t="s"/>
      <c r="B53" s="45" t="s">
        <v>67</v>
      </c>
      <c r="C53" s="46" t="s">
        <v>96</v>
      </c>
      <c r="D53" s="47" t="s"/>
      <c r="E53" s="54">
        <f>=F53+G53+H53+I53+J53+K53+L53+M53+N53+O53+P53+Q53</f>
        <v>1</v>
      </c>
      <c r="F53" s="46" t="s"/>
      <c r="G53" s="46" t="s"/>
      <c r="H53" s="46" t="s"/>
      <c r="I53" s="46">
        <v>1</v>
      </c>
      <c r="J53" s="46" t="s"/>
      <c r="K53" s="46" t="s"/>
      <c r="L53" s="46" t="s"/>
      <c r="M53" s="46" t="s"/>
      <c r="N53" s="46" t="s"/>
      <c r="O53" s="46" t="s"/>
      <c r="P53" s="46" t="s"/>
      <c r="Q53" s="46" t="s"/>
      <c r="R53" s="43" t="s"/>
    </row>
    <row r="54" spans="1:18" ht="22.5" customHeight="true">
      <c r="A54" s="59" t="s"/>
      <c r="B54" s="45" t="s">
        <v>8</v>
      </c>
      <c r="C54" s="46" t="s">
        <v>97</v>
      </c>
      <c r="D54" s="47" t="s"/>
      <c r="E54" s="42">
        <f>=F54+G54+H54+I54+J54+K54+L54+M54+N54+O54+P54+Q54</f>
        <v>1</v>
      </c>
      <c r="F54" s="46" t="s"/>
      <c r="G54" s="46" t="s"/>
      <c r="H54" s="46">
        <f>=1</f>
        <v>1</v>
      </c>
      <c r="I54" s="46" t="s"/>
      <c r="J54" s="46" t="s"/>
      <c r="K54" s="46" t="s"/>
      <c r="L54" s="46" t="s"/>
      <c r="M54" s="46" t="s"/>
      <c r="N54" s="46" t="s"/>
      <c r="O54" s="46" t="s"/>
      <c r="P54" s="46" t="s"/>
      <c r="Q54" s="46" t="s"/>
      <c r="R54" s="43" t="s"/>
    </row>
    <row r="55" spans="1:18" ht="22.5" customHeight="true">
      <c r="A55" s="44" t="s"/>
      <c r="B55" s="45" t="s">
        <v>37</v>
      </c>
      <c r="C55" s="46" t="s">
        <v>98</v>
      </c>
      <c r="D55" s="51" t="s"/>
      <c r="E55" s="48">
        <f>=F55+G55+H55+I55+J55+K55+L55+M55+N55+O55+P55+Q55</f>
        <v>0</v>
      </c>
      <c r="F55" s="46" t="s"/>
      <c r="G55" s="46" t="s"/>
      <c r="H55" s="46" t="s"/>
      <c r="I55" s="46" t="s"/>
      <c r="J55" s="46" t="s"/>
      <c r="K55" s="46" t="s"/>
      <c r="L55" s="46" t="s"/>
      <c r="M55" s="46" t="s"/>
      <c r="N55" s="46" t="s"/>
      <c r="O55" s="46" t="s"/>
      <c r="P55" s="46" t="s"/>
      <c r="Q55" s="46" t="s"/>
      <c r="R55" s="43" t="s"/>
    </row>
    <row r="56" spans="1:18" ht="22.5" customHeight="true">
      <c r="A56" s="44" t="s"/>
      <c r="B56" s="39" t="s">
        <v>99</v>
      </c>
      <c r="C56" s="46" t="s">
        <v>100</v>
      </c>
      <c r="D56" s="41" t="s"/>
      <c r="E56" s="42">
        <f>=F56+G56+H56+I56+J56+K56+L56+M56+N56+O56+P56+Q56</f>
        <v>0</v>
      </c>
      <c r="F56" s="40" t="s"/>
      <c r="G56" s="40" t="s"/>
      <c r="H56" s="40" t="s"/>
      <c r="I56" s="40" t="s"/>
      <c r="J56" s="40" t="s"/>
      <c r="K56" s="40" t="s"/>
      <c r="L56" s="40" t="s"/>
      <c r="M56" s="40" t="s"/>
      <c r="N56" s="40" t="s"/>
      <c r="O56" s="40" t="s"/>
      <c r="P56" s="40" t="s"/>
      <c r="Q56" s="40" t="s"/>
      <c r="R56" s="52" t="s"/>
    </row>
    <row r="57" spans="1:18" ht="22.5" customHeight="true">
      <c r="A57" s="38" t="s"/>
      <c r="B57" s="49" t="s">
        <v>25</v>
      </c>
      <c r="C57" s="40" t="s">
        <v>101</v>
      </c>
      <c r="D57" s="41" t="s"/>
      <c r="E57" s="42">
        <f>=F57+G57+H57+I57+J57+K57+L57+M57+N57+O57+P57+Q57</f>
        <v>0</v>
      </c>
      <c r="F57" s="40" t="s"/>
      <c r="G57" s="40" t="s"/>
      <c r="H57" s="40" t="s"/>
      <c r="I57" s="40" t="s"/>
      <c r="J57" s="40" t="s"/>
      <c r="K57" s="40" t="s"/>
      <c r="L57" s="40" t="s"/>
      <c r="M57" s="40" t="s"/>
      <c r="N57" s="40" t="s"/>
      <c r="O57" s="40" t="s"/>
      <c r="P57" s="40" t="s"/>
      <c r="Q57" s="40" t="s"/>
      <c r="R57" s="52" t="s"/>
    </row>
    <row r="58" spans="1:18" ht="22.5" customHeight="true">
      <c r="A58" s="38" t="s"/>
      <c r="B58" s="45" t="s">
        <v>32</v>
      </c>
      <c r="C58" s="46" t="s">
        <v>102</v>
      </c>
      <c r="D58" s="51" t="s"/>
      <c r="E58" s="42">
        <f>=F58+G58+H58+I58+J58+K58+L58+M58+N58+O58+P58+Q58</f>
        <v>1</v>
      </c>
      <c r="F58" s="46" t="s"/>
      <c r="G58" s="46" t="s"/>
      <c r="H58" s="46" t="s"/>
      <c r="I58" s="46">
        <f>=1</f>
        <v>1</v>
      </c>
      <c r="J58" s="46" t="s"/>
      <c r="K58" s="46" t="s"/>
      <c r="L58" s="46" t="s"/>
      <c r="M58" s="46" t="s"/>
      <c r="N58" s="46" t="s"/>
      <c r="O58" s="46" t="s"/>
      <c r="P58" s="46" t="s"/>
      <c r="Q58" s="46" t="s"/>
      <c r="R58" s="43" t="s"/>
    </row>
    <row r="59" spans="1:18" ht="22.5" customHeight="true">
      <c r="A59" s="38" t="s"/>
      <c r="B59" s="45" t="s">
        <v>24</v>
      </c>
      <c r="C59" s="46" t="s">
        <v>20</v>
      </c>
      <c r="D59" s="51" t="s"/>
      <c r="E59" s="48">
        <f>=F59+G59+H59+I59+J59+K59+L59+M59+N59+O59+P59+Q59</f>
        <v>1</v>
      </c>
      <c r="F59" s="46" t="s"/>
      <c r="G59" s="46" t="s"/>
      <c r="H59" s="46" t="s"/>
      <c r="I59" s="46">
        <f>=1</f>
        <v>1</v>
      </c>
      <c r="J59" s="46" t="s"/>
      <c r="K59" s="46" t="s"/>
      <c r="L59" s="46" t="s"/>
      <c r="M59" s="46" t="s"/>
      <c r="N59" s="46" t="s"/>
      <c r="O59" s="46" t="s"/>
      <c r="P59" s="46" t="s"/>
      <c r="Q59" s="46" t="s"/>
      <c r="R59" s="55" t="s"/>
    </row>
    <row r="60" spans="1:18" ht="22.5" customHeight="true">
      <c r="A60" s="44" t="s"/>
      <c r="B60" s="45" t="s">
        <v>8</v>
      </c>
      <c r="C60" s="46" t="s">
        <v>103</v>
      </c>
      <c r="D60" s="41" t="s"/>
      <c r="E60" s="42">
        <f>=F60+G60+H60+I60+J60+K60+L60+M60+N60+O60+P60+Q60</f>
        <v>1</v>
      </c>
      <c r="F60" s="40" t="s"/>
      <c r="G60" s="40" t="s"/>
      <c r="H60" s="40" t="s"/>
      <c r="I60" s="40">
        <f>=1</f>
        <v>1</v>
      </c>
      <c r="J60" s="40" t="s"/>
      <c r="K60" s="40" t="s"/>
      <c r="L60" s="40" t="s"/>
      <c r="M60" s="40" t="s"/>
      <c r="N60" s="40" t="s"/>
      <c r="O60" s="40" t="s"/>
      <c r="P60" s="40" t="s"/>
      <c r="Q60" s="40" t="s"/>
      <c r="R60" s="52" t="s"/>
    </row>
    <row r="61" spans="1:18" ht="22.5" customHeight="true">
      <c r="A61" s="44" t="s"/>
      <c r="B61" s="39" t="s">
        <v>104</v>
      </c>
      <c r="C61" s="46" t="s">
        <v>105</v>
      </c>
      <c r="D61" s="41" t="s"/>
      <c r="E61" s="48">
        <f>=F61+G61+H61+I61+J61+K61+L61+M61+N61+O61+P61+Q61</f>
        <v>0</v>
      </c>
      <c r="F61" s="40" t="s"/>
      <c r="G61" s="40" t="s"/>
      <c r="H61" s="40" t="s"/>
      <c r="I61" s="40" t="s"/>
      <c r="J61" s="40" t="s"/>
      <c r="K61" s="40" t="s"/>
      <c r="L61" s="40" t="s"/>
      <c r="M61" s="40" t="s"/>
      <c r="N61" s="40" t="s"/>
      <c r="O61" s="40" t="s"/>
      <c r="P61" s="40" t="s"/>
      <c r="Q61" s="40" t="s"/>
      <c r="R61" s="43" t="s"/>
    </row>
    <row r="62" spans="1:18" ht="22.5" customHeight="true">
      <c r="A62" s="38" t="s"/>
      <c r="B62" s="45" t="s">
        <v>14</v>
      </c>
      <c r="C62" s="46" t="s">
        <v>106</v>
      </c>
      <c r="D62" s="51" t="s"/>
      <c r="E62" s="48">
        <f>=F62+G62+H62+I62+J62+K62+L62+M62+N62+O62+P62+Q62</f>
        <v>0</v>
      </c>
      <c r="F62" s="46" t="s"/>
      <c r="G62" s="46" t="s"/>
      <c r="H62" s="46" t="s"/>
      <c r="I62" s="46" t="s"/>
      <c r="J62" s="46" t="s"/>
      <c r="K62" s="46" t="s"/>
      <c r="L62" s="46" t="s"/>
      <c r="M62" s="46" t="s"/>
      <c r="N62" s="46" t="s"/>
      <c r="O62" s="46" t="s"/>
      <c r="P62" s="46" t="s"/>
      <c r="Q62" s="46" t="s"/>
      <c r="R62" s="43" t="s"/>
    </row>
    <row r="63" spans="1:18" ht="22.5" customHeight="true">
      <c r="A63" s="44" t="s"/>
      <c r="B63" s="45" t="s">
        <v>99</v>
      </c>
      <c r="C63" s="46" t="s">
        <v>107</v>
      </c>
      <c r="D63" s="47" t="s"/>
      <c r="E63" s="42">
        <f>=F63+G63+H63+I63+J63+K63+L63+M63+N63+O63+P63+Q63</f>
        <v>0</v>
      </c>
      <c r="F63" s="46" t="s"/>
      <c r="G63" s="46" t="s"/>
      <c r="H63" s="46" t="s"/>
      <c r="I63" s="46" t="s"/>
      <c r="J63" s="46" t="s"/>
      <c r="K63" s="46" t="s"/>
      <c r="L63" s="46" t="s"/>
      <c r="M63" s="46" t="s"/>
      <c r="N63" s="46" t="s"/>
      <c r="O63" s="46" t="s"/>
      <c r="P63" s="46" t="s"/>
      <c r="Q63" s="46" t="s"/>
      <c r="R63" s="52" t="s"/>
    </row>
    <row r="64" spans="1:18" ht="22.5" customHeight="true">
      <c r="A64" s="38" t="s"/>
      <c r="B64" s="45" t="s">
        <v>99</v>
      </c>
      <c r="C64" s="46" t="s">
        <v>108</v>
      </c>
      <c r="D64" s="41" t="s"/>
      <c r="E64" s="48">
        <f>=F64+G64+H64+I64+J64+K64+L64+M64+N64+O64+P64+Q64</f>
        <v>0</v>
      </c>
      <c r="F64" s="40" t="s"/>
      <c r="G64" s="40" t="s"/>
      <c r="H64" s="40" t="s"/>
      <c r="I64" s="40" t="s"/>
      <c r="J64" s="40" t="s"/>
      <c r="K64" s="40" t="s"/>
      <c r="L64" s="40" t="s"/>
      <c r="M64" s="40" t="s"/>
      <c r="N64" s="40" t="s"/>
      <c r="O64" s="40" t="s"/>
      <c r="P64" s="40" t="s"/>
      <c r="Q64" s="40" t="s"/>
      <c r="R64" s="43" t="s"/>
    </row>
    <row r="65" spans="1:18" ht="22.5" customHeight="true">
      <c r="A65" s="44" t="s"/>
      <c r="B65" s="45" t="s">
        <v>8</v>
      </c>
      <c r="C65" s="40" t="s">
        <v>109</v>
      </c>
      <c r="D65" s="41" t="s"/>
      <c r="E65" s="48">
        <f>=F65+G65+H65+I65+J65+K65+L65+M65+N65+O65+P65+Q65</f>
        <v>1</v>
      </c>
      <c r="F65" s="40" t="s"/>
      <c r="G65" s="40" t="s"/>
      <c r="H65" s="40" t="s"/>
      <c r="I65" s="40">
        <f>=1</f>
        <v>1</v>
      </c>
      <c r="J65" s="40" t="s"/>
      <c r="K65" s="40" t="s"/>
      <c r="L65" s="40" t="s"/>
      <c r="M65" s="40" t="s"/>
      <c r="N65" s="40" t="s"/>
      <c r="O65" s="40" t="s"/>
      <c r="P65" s="40" t="s"/>
      <c r="Q65" s="40" t="s"/>
      <c r="R65" s="55" t="s"/>
    </row>
    <row r="66" spans="1:18" ht="22.5" customHeight="true">
      <c r="A66" s="44" t="s"/>
      <c r="B66" s="49" t="s">
        <v>37</v>
      </c>
      <c r="C66" s="46" t="s">
        <v>110</v>
      </c>
      <c r="D66" s="47" t="s"/>
      <c r="E66" s="42">
        <f>=F66+G66+H66+I66+J66+K66+L66+M66+N66+O66+P66+Q66</f>
        <v>0</v>
      </c>
      <c r="F66" s="46" t="s"/>
      <c r="G66" s="46" t="s"/>
      <c r="H66" s="46" t="s"/>
      <c r="I66" s="46" t="s"/>
      <c r="J66" s="46" t="s"/>
      <c r="K66" s="46" t="s"/>
      <c r="L66" s="46" t="s"/>
      <c r="M66" s="46" t="s"/>
      <c r="N66" s="46" t="s"/>
      <c r="O66" s="46" t="s"/>
      <c r="P66" s="46" t="s"/>
      <c r="Q66" s="46" t="s"/>
      <c r="R66" s="43" t="s"/>
    </row>
    <row r="67" spans="1:18" ht="22.5" customHeight="true">
      <c r="A67" s="44" t="s"/>
      <c r="B67" s="45" t="s">
        <v>25</v>
      </c>
      <c r="C67" s="46" t="s">
        <v>111</v>
      </c>
      <c r="D67" s="47" t="s"/>
      <c r="E67" s="42">
        <f>=F67+G67+H67+I67+J67+K67+L67+M67+N67+O67+P67+Q67</f>
        <v>0</v>
      </c>
      <c r="F67" s="46" t="s"/>
      <c r="G67" s="46" t="s"/>
      <c r="H67" s="46" t="s"/>
      <c r="I67" s="46" t="s"/>
      <c r="J67" s="46" t="s"/>
      <c r="K67" s="46" t="s"/>
      <c r="L67" s="46" t="s"/>
      <c r="M67" s="46" t="s"/>
      <c r="N67" s="46" t="s"/>
      <c r="O67" s="46" t="s"/>
      <c r="P67" s="46" t="s"/>
      <c r="Q67" s="46" t="s"/>
      <c r="R67" s="60" t="s"/>
    </row>
    <row r="68" spans="1:18" ht="22.5" customHeight="true">
      <c r="A68" s="38" t="s"/>
      <c r="B68" s="49" t="s">
        <v>99</v>
      </c>
      <c r="C68" s="50" t="s">
        <v>112</v>
      </c>
      <c r="D68" s="51" t="s"/>
      <c r="E68" s="42">
        <f>=F68+G68+H68+I68+J68+K68+L68+M68+N68+O68+P68+Q68</f>
        <v>0</v>
      </c>
      <c r="F68" s="50" t="s"/>
      <c r="G68" s="50" t="s"/>
      <c r="H68" s="50" t="s"/>
      <c r="I68" s="50" t="s"/>
      <c r="J68" s="50" t="s"/>
      <c r="K68" s="50" t="s"/>
      <c r="L68" s="50" t="s"/>
      <c r="M68" s="50" t="s"/>
      <c r="N68" s="50" t="s"/>
      <c r="O68" s="50" t="s"/>
      <c r="P68" s="50" t="s"/>
      <c r="Q68" s="50" t="s"/>
      <c r="R68" s="52" t="s"/>
    </row>
    <row r="69" spans="1:18" ht="22.5" customHeight="true">
      <c r="A69" s="38" t="s"/>
      <c r="B69" s="45" t="s">
        <v>25</v>
      </c>
      <c r="C69" s="46" t="s">
        <v>113</v>
      </c>
      <c r="D69" s="47" t="s"/>
      <c r="E69" s="42">
        <f>=F69+G69+H69+I69+J69+K69+L69+M69+N69+O69+P69+Q69</f>
        <v>0</v>
      </c>
      <c r="F69" s="46" t="s"/>
      <c r="G69" s="46" t="s"/>
      <c r="H69" s="46" t="s"/>
      <c r="I69" s="46" t="s"/>
      <c r="J69" s="46" t="s"/>
      <c r="K69" s="46" t="s"/>
      <c r="L69" s="46" t="s"/>
      <c r="M69" s="46" t="s"/>
      <c r="N69" s="46" t="s"/>
      <c r="O69" s="46" t="s"/>
      <c r="P69" s="46" t="s"/>
      <c r="Q69" s="46" t="s"/>
      <c r="R69" s="43" t="s"/>
    </row>
    <row r="70" spans="1:18" ht="22.5" customHeight="true">
      <c r="A70" s="38" t="s"/>
      <c r="B70" s="45" t="s">
        <v>8</v>
      </c>
      <c r="C70" s="61" t="s">
        <v>232</v>
      </c>
      <c r="D70" s="56" t="s"/>
      <c r="E70" s="42">
        <f>=F70+G70+H70+I70+J70+K70+L70+M70+N70+O70+P70+Q70</f>
        <v>0</v>
      </c>
      <c r="F70" s="40" t="s"/>
      <c r="G70" s="40" t="s"/>
      <c r="H70" s="40" t="s"/>
      <c r="I70" s="40" t="s"/>
      <c r="J70" s="40" t="s"/>
      <c r="K70" s="40" t="s"/>
      <c r="L70" s="40" t="s"/>
      <c r="M70" s="40" t="s"/>
      <c r="N70" s="40" t="s"/>
      <c r="O70" s="40" t="s"/>
      <c r="P70" s="40" t="s"/>
      <c r="Q70" s="40" t="s"/>
      <c r="R70" s="43" t="s"/>
    </row>
    <row r="71" spans="1:18" ht="22.5" customHeight="true">
      <c r="A71" s="38" t="s"/>
      <c r="B71" s="45" t="s">
        <v>8</v>
      </c>
      <c r="C71" s="46" t="s">
        <v>114</v>
      </c>
      <c r="D71" s="51" t="s"/>
      <c r="E71" s="42">
        <f>=F71+G71+H71+I71+J71+K71+L71+M71+N71+O71+P71+Q71</f>
        <v>0</v>
      </c>
      <c r="F71" s="46" t="s"/>
      <c r="G71" s="46" t="s"/>
      <c r="H71" s="46" t="s"/>
      <c r="I71" s="46" t="s"/>
      <c r="J71" s="46" t="s"/>
      <c r="K71" s="46" t="s"/>
      <c r="L71" s="46" t="s"/>
      <c r="M71" s="46" t="s"/>
      <c r="N71" s="46" t="s"/>
      <c r="O71" s="46" t="s"/>
      <c r="P71" s="46" t="s"/>
      <c r="Q71" s="46" t="s"/>
      <c r="R71" s="52" t="s"/>
    </row>
    <row r="72" spans="1:18" ht="22.5" customHeight="true">
      <c r="A72" s="44" t="s"/>
      <c r="B72" s="45" t="s">
        <v>14</v>
      </c>
      <c r="C72" s="46" t="s">
        <v>115</v>
      </c>
      <c r="D72" s="51" t="s"/>
      <c r="E72" s="42">
        <f>=F72+G72+H72+I72+J72+K72+L72+M72+N72+O72+P72+Q72</f>
        <v>0</v>
      </c>
      <c r="F72" s="46" t="s"/>
      <c r="G72" s="46" t="s"/>
      <c r="H72" s="46" t="s"/>
      <c r="I72" s="46" t="s"/>
      <c r="J72" s="46" t="s"/>
      <c r="K72" s="46" t="s"/>
      <c r="L72" s="46" t="s"/>
      <c r="M72" s="46" t="s"/>
      <c r="N72" s="46" t="s"/>
      <c r="O72" s="46" t="s"/>
      <c r="P72" s="46" t="s"/>
      <c r="Q72" s="46" t="s"/>
      <c r="R72" s="43" t="s"/>
    </row>
    <row r="73" spans="1:18" ht="22.5" customHeight="true">
      <c r="A73" s="44" t="s"/>
      <c r="B73" s="45" t="s">
        <v>8</v>
      </c>
      <c r="C73" s="46" t="s">
        <v>116</v>
      </c>
      <c r="D73" s="56" t="s"/>
      <c r="E73" s="42">
        <f>=F73+G73+H73+I73+J73+K73+L73+M73+N73+O73+P73+Q73</f>
        <v>1</v>
      </c>
      <c r="F73" s="40" t="s"/>
      <c r="G73" s="40" t="s"/>
      <c r="H73" s="40" t="s"/>
      <c r="I73" s="40">
        <f>=1</f>
        <v>1</v>
      </c>
      <c r="J73" s="40" t="s"/>
      <c r="K73" s="40" t="s"/>
      <c r="L73" s="40" t="s"/>
      <c r="M73" s="40" t="s"/>
      <c r="N73" s="40" t="s"/>
      <c r="O73" s="40" t="s"/>
      <c r="P73" s="40" t="s"/>
      <c r="Q73" s="40" t="s"/>
      <c r="R73" s="55" t="s"/>
    </row>
    <row r="74" spans="1:18" ht="22.5" customHeight="true">
      <c r="A74" s="38" t="s"/>
      <c r="B74" s="49" t="s">
        <v>117</v>
      </c>
      <c r="C74" s="50" t="s">
        <v>118</v>
      </c>
      <c r="D74" s="51" t="s"/>
      <c r="E74" s="42">
        <f>=F74+G74+H74+I74+J74+K74+L74+M74+N74+O74+P74+Q74</f>
        <v>1</v>
      </c>
      <c r="F74" s="50" t="s"/>
      <c r="G74" s="50" t="s"/>
      <c r="H74" s="50" t="s"/>
      <c r="I74" s="50">
        <f>=1</f>
        <v>1</v>
      </c>
      <c r="J74" s="50" t="s"/>
      <c r="K74" s="50" t="s"/>
      <c r="L74" s="50" t="s"/>
      <c r="M74" s="50" t="s"/>
      <c r="N74" s="50" t="s"/>
      <c r="O74" s="50" t="s"/>
      <c r="P74" s="50" t="s"/>
      <c r="Q74" s="50" t="s"/>
      <c r="R74" s="52" t="s"/>
    </row>
    <row r="75" spans="1:18" ht="22.5" customHeight="true">
      <c r="A75" s="44" t="s"/>
      <c r="B75" s="49" t="s">
        <v>14</v>
      </c>
      <c r="C75" s="50" t="s">
        <v>119</v>
      </c>
      <c r="D75" s="51" t="s"/>
      <c r="E75" s="62">
        <f>=F75+G75+H75+I75+J75+K75+L75+M75+N75+O75+P75+Q75</f>
        <v>0</v>
      </c>
      <c r="F75" s="50" t="s"/>
      <c r="G75" s="50" t="s"/>
      <c r="H75" s="50" t="s"/>
      <c r="I75" s="50" t="s"/>
      <c r="J75" s="50" t="s"/>
      <c r="K75" s="50" t="s"/>
      <c r="L75" s="50" t="s"/>
      <c r="M75" s="50" t="s"/>
      <c r="N75" s="50" t="s"/>
      <c r="O75" s="50" t="s"/>
      <c r="P75" s="50" t="s"/>
      <c r="Q75" s="50" t="s"/>
      <c r="R75" s="43" t="s"/>
    </row>
    <row r="76" spans="1:18" ht="22.5" customHeight="true">
      <c r="A76" s="38" t="s"/>
      <c r="B76" s="45" t="s">
        <v>24</v>
      </c>
      <c r="C76" s="46" t="s">
        <v>120</v>
      </c>
      <c r="D76" s="51" t="s"/>
      <c r="E76" s="42">
        <f>=F76+G76+H76+I76+J76+K76+L76+M76+N76+O76+P76+Q76</f>
        <v>1</v>
      </c>
      <c r="F76" s="46" t="s"/>
      <c r="G76" s="46" t="s"/>
      <c r="H76" s="46" t="s"/>
      <c r="I76" s="46">
        <f>=1</f>
        <v>1</v>
      </c>
      <c r="J76" s="46" t="s"/>
      <c r="K76" s="46" t="s"/>
      <c r="L76" s="46" t="s"/>
      <c r="M76" s="46" t="s"/>
      <c r="N76" s="46" t="s"/>
      <c r="O76" s="46" t="s"/>
      <c r="P76" s="46" t="s"/>
      <c r="Q76" s="46" t="s"/>
      <c r="R76" s="52" t="s"/>
    </row>
    <row r="77" spans="1:18" ht="22.5" customHeight="true">
      <c r="A77" s="44" t="s"/>
      <c r="B77" s="49" t="s">
        <v>25</v>
      </c>
      <c r="C77" s="46" t="s">
        <v>121</v>
      </c>
      <c r="D77" s="41" t="s"/>
      <c r="E77" s="62">
        <f>=F77+G77+H77+I77+J77+K77+L77+M77+N77+O77+P77+Q77</f>
        <v>1</v>
      </c>
      <c r="F77" s="40" t="s"/>
      <c r="G77" s="40" t="s"/>
      <c r="H77" s="40" t="s"/>
      <c r="I77" s="40">
        <f>=1</f>
        <v>1</v>
      </c>
      <c r="J77" s="40" t="s"/>
      <c r="K77" s="40" t="s"/>
      <c r="L77" s="40" t="s"/>
      <c r="M77" s="40" t="s"/>
      <c r="N77" s="40" t="s"/>
      <c r="O77" s="40" t="s"/>
      <c r="P77" s="40" t="s"/>
      <c r="Q77" s="40" t="s"/>
      <c r="R77" s="52" t="s"/>
    </row>
    <row r="78" spans="1:18" ht="22.5" customHeight="true">
      <c r="A78" s="38" t="s"/>
      <c r="B78" s="45" t="s">
        <v>117</v>
      </c>
      <c r="C78" s="46" t="s">
        <v>122</v>
      </c>
      <c r="D78" s="47" t="s"/>
      <c r="E78" s="62">
        <f>=F78+G78+H78+I78+J78+K78+L78+M78+N78+O78+P78+Q78</f>
        <v>1</v>
      </c>
      <c r="F78" s="46" t="s"/>
      <c r="G78" s="46" t="s"/>
      <c r="H78" s="46" t="s"/>
      <c r="I78" s="46">
        <f>=1</f>
        <v>1</v>
      </c>
      <c r="J78" s="46" t="s"/>
      <c r="K78" s="46" t="s"/>
      <c r="L78" s="46" t="s"/>
      <c r="M78" s="46" t="s"/>
      <c r="N78" s="46" t="s"/>
      <c r="O78" s="46" t="s"/>
      <c r="P78" s="46" t="s"/>
      <c r="Q78" s="46" t="s"/>
      <c r="R78" s="52" t="s"/>
    </row>
    <row r="79" spans="1:18" ht="22.5" customHeight="true">
      <c r="A79" s="38" t="s"/>
      <c r="B79" s="49" t="s">
        <v>104</v>
      </c>
      <c r="C79" s="50" t="s">
        <v>123</v>
      </c>
      <c r="D79" s="51" t="s"/>
      <c r="E79" s="42">
        <f>=F79+G79+H79+I79+J79+K79+L79+M79+N79+O79+P79+Q79</f>
        <v>0</v>
      </c>
      <c r="F79" s="50" t="s"/>
      <c r="G79" s="50" t="s"/>
      <c r="H79" s="50" t="s"/>
      <c r="I79" s="50" t="s"/>
      <c r="J79" s="50" t="s"/>
      <c r="K79" s="50" t="s"/>
      <c r="L79" s="50" t="s"/>
      <c r="M79" s="50" t="s"/>
      <c r="N79" s="50" t="s"/>
      <c r="O79" s="50" t="s"/>
      <c r="P79" s="50" t="s"/>
      <c r="Q79" s="50" t="s"/>
      <c r="R79" s="52" t="s"/>
    </row>
    <row r="80" spans="1:18" ht="22.5" customHeight="true">
      <c r="A80" s="44" t="s"/>
      <c r="B80" s="45" t="s">
        <v>64</v>
      </c>
      <c r="C80" s="46" t="s">
        <v>124</v>
      </c>
      <c r="D80" s="47" t="s"/>
      <c r="E80" s="62">
        <f>=F80+G80+H80+I80+J80+K80+L80+M80+N80+O80+P80+Q80</f>
        <v>0</v>
      </c>
      <c r="F80" s="46" t="s"/>
      <c r="G80" s="46" t="s"/>
      <c r="H80" s="46" t="s"/>
      <c r="I80" s="46" t="s"/>
      <c r="J80" s="46" t="s"/>
      <c r="K80" s="46" t="s"/>
      <c r="L80" s="46" t="s"/>
      <c r="M80" s="46" t="s"/>
      <c r="N80" s="46" t="s"/>
      <c r="O80" s="46" t="s"/>
      <c r="P80" s="46" t="s"/>
      <c r="Q80" s="46" t="s"/>
      <c r="R80" s="43" t="s"/>
    </row>
    <row r="81" spans="1:18" ht="22.5" customHeight="true">
      <c r="A81" s="38" t="s"/>
      <c r="B81" s="45" t="s">
        <v>67</v>
      </c>
      <c r="C81" s="46" t="s">
        <v>125</v>
      </c>
      <c r="D81" s="47" t="s"/>
      <c r="E81" s="48">
        <f>=F81+G81+H81+I81+J81+K81+L81+M81+N81+O81+P81+Q81</f>
        <v>0</v>
      </c>
      <c r="F81" s="46" t="s"/>
      <c r="G81" s="46" t="s"/>
      <c r="H81" s="46" t="s"/>
      <c r="I81" s="46" t="s"/>
      <c r="J81" s="46" t="s"/>
      <c r="K81" s="46" t="s"/>
      <c r="L81" s="46" t="s"/>
      <c r="M81" s="46" t="s"/>
      <c r="N81" s="46" t="s"/>
      <c r="O81" s="46" t="s"/>
      <c r="P81" s="46" t="s"/>
      <c r="Q81" s="46" t="s"/>
      <c r="R81" s="52" t="s"/>
    </row>
    <row r="82" spans="1:18" ht="22.5" customHeight="true">
      <c r="A82" s="44" t="s"/>
      <c r="B82" s="45" t="s">
        <v>67</v>
      </c>
      <c r="C82" s="46" t="s">
        <v>126</v>
      </c>
      <c r="D82" s="47" t="s"/>
      <c r="E82" s="42">
        <f>=F82+G82+H82+I82+J82+K82+L82+M82+N82+O82+P82+Q82</f>
        <v>1</v>
      </c>
      <c r="F82" s="46" t="s"/>
      <c r="G82" s="46" t="s"/>
      <c r="H82" s="46" t="s"/>
      <c r="I82" s="46">
        <f>=1</f>
        <v>1</v>
      </c>
      <c r="J82" s="46" t="s"/>
      <c r="K82" s="46" t="s"/>
      <c r="L82" s="46" t="s"/>
      <c r="M82" s="46" t="s"/>
      <c r="N82" s="46" t="s"/>
      <c r="O82" s="46" t="s"/>
      <c r="P82" s="46" t="s"/>
      <c r="Q82" s="46" t="s"/>
      <c r="R82" s="55" t="s"/>
    </row>
    <row r="83" spans="1:18" ht="22.5" customHeight="true">
      <c r="A83" s="44" t="s"/>
      <c r="B83" s="45" t="s">
        <v>8</v>
      </c>
      <c r="C83" s="46" t="s">
        <v>127</v>
      </c>
      <c r="D83" s="41" t="s"/>
      <c r="E83" s="42">
        <f>=F83+G83+H83+I83+J83+K83+L83+M83+N83+O83+P83+Q83</f>
        <v>1</v>
      </c>
      <c r="F83" s="40" t="s"/>
      <c r="G83" s="40" t="s"/>
      <c r="H83" s="40" t="s"/>
      <c r="I83" s="40">
        <f>=1</f>
        <v>1</v>
      </c>
      <c r="J83" s="40" t="s"/>
      <c r="K83" s="40" t="s"/>
      <c r="L83" s="40" t="s"/>
      <c r="M83" s="40" t="s"/>
      <c r="N83" s="40" t="s"/>
      <c r="O83" s="40" t="s"/>
      <c r="P83" s="40" t="s"/>
      <c r="Q83" s="40" t="s"/>
      <c r="R83" s="52" t="s"/>
    </row>
    <row r="84" spans="1:18" ht="22.5" customHeight="true">
      <c r="A84" s="44" t="s"/>
      <c r="B84" s="45" t="s">
        <v>37</v>
      </c>
      <c r="C84" s="46" t="s">
        <v>128</v>
      </c>
      <c r="D84" s="41" t="s"/>
      <c r="E84" s="42">
        <f>=F84+G84+H84+I84+J84+K84+L84+M84+N84+O84+P84+Q84</f>
        <v>0</v>
      </c>
      <c r="F84" s="40" t="s"/>
      <c r="G84" s="40" t="s"/>
      <c r="H84" s="40" t="s"/>
      <c r="I84" s="40" t="s"/>
      <c r="J84" s="40" t="s"/>
      <c r="K84" s="40" t="s"/>
      <c r="L84" s="40" t="s"/>
      <c r="M84" s="40" t="s"/>
      <c r="N84" s="40" t="s"/>
      <c r="O84" s="40" t="s"/>
      <c r="P84" s="40" t="s"/>
      <c r="Q84" s="40" t="s"/>
      <c r="R84" s="43" t="s"/>
    </row>
    <row r="85" spans="1:18" ht="22.5" customHeight="true">
      <c r="A85" s="44" t="s"/>
      <c r="B85" s="39" t="s">
        <v>37</v>
      </c>
      <c r="C85" s="40" t="s">
        <v>129</v>
      </c>
      <c r="D85" s="41" t="s"/>
      <c r="E85" s="48">
        <f>=F85+G85+H85+I85+J85+K85+L85+M85+N85+O85+P85+Q85</f>
        <v>0</v>
      </c>
      <c r="F85" s="40" t="s"/>
      <c r="G85" s="40" t="s"/>
      <c r="H85" s="40" t="s"/>
      <c r="I85" s="40" t="s"/>
      <c r="J85" s="40" t="s"/>
      <c r="K85" s="40" t="s"/>
      <c r="L85" s="40" t="s"/>
      <c r="M85" s="40" t="s"/>
      <c r="N85" s="40" t="s"/>
      <c r="O85" s="40" t="s"/>
      <c r="P85" s="40" t="s"/>
      <c r="Q85" s="40" t="s"/>
      <c r="R85" s="43" t="s"/>
    </row>
    <row r="86" spans="1:18" ht="22.5" customHeight="true">
      <c r="A86" s="44" t="s"/>
      <c r="B86" s="45" t="s">
        <v>117</v>
      </c>
      <c r="C86" s="46" t="s">
        <v>130</v>
      </c>
      <c r="D86" s="47" t="s"/>
      <c r="E86" s="42">
        <f>=F86+G86+H86+I86+J86+K86+L86+M86+N86+O86+P86+Q86</f>
        <v>1</v>
      </c>
      <c r="F86" s="46" t="s"/>
      <c r="G86" s="46" t="s"/>
      <c r="H86" s="46" t="s"/>
      <c r="I86" s="46">
        <f>=1</f>
        <v>1</v>
      </c>
      <c r="J86" s="46" t="s"/>
      <c r="K86" s="46" t="s"/>
      <c r="L86" s="46" t="s"/>
      <c r="M86" s="46" t="s"/>
      <c r="N86" s="46" t="s"/>
      <c r="O86" s="46" t="s"/>
      <c r="P86" s="46" t="s"/>
      <c r="Q86" s="46" t="s"/>
      <c r="R86" s="52" t="s"/>
    </row>
    <row r="87" spans="1:18" ht="22.5" customHeight="true">
      <c r="A87" s="44" t="s"/>
      <c r="B87" s="49" t="s">
        <v>25</v>
      </c>
      <c r="C87" s="50" t="s">
        <v>233</v>
      </c>
      <c r="D87" s="56" t="s"/>
      <c r="E87" s="48">
        <f>=F87+G87+H87+I87+J87+K87+L87+M87+N87+O87+P87+Q87</f>
        <v>1</v>
      </c>
      <c r="F87" s="57" t="s"/>
      <c r="G87" s="57" t="s"/>
      <c r="H87" s="57" t="s"/>
      <c r="I87" s="57">
        <f>=1</f>
        <v>1</v>
      </c>
      <c r="J87" s="57" t="s"/>
      <c r="K87" s="57" t="s"/>
      <c r="L87" s="57" t="s"/>
      <c r="M87" s="57" t="s"/>
      <c r="N87" s="57" t="s"/>
      <c r="O87" s="57" t="s"/>
      <c r="P87" s="57" t="s"/>
      <c r="Q87" s="57" t="s"/>
      <c r="R87" s="52" t="s"/>
    </row>
    <row r="88" spans="1:18" ht="22.5" customHeight="true">
      <c r="A88" s="38" t="s"/>
      <c r="B88" s="49" t="s">
        <v>131</v>
      </c>
      <c r="C88" s="50" t="s">
        <v>132</v>
      </c>
      <c r="D88" s="51" t="s"/>
      <c r="E88" s="42">
        <f>=F88+G88+H88+I88+J88+K88+L88+M88+N88+O88+P88+Q88</f>
        <v>1</v>
      </c>
      <c r="F88" s="50" t="s"/>
      <c r="G88" s="50" t="s"/>
      <c r="H88" s="50" t="s"/>
      <c r="I88" s="50">
        <f>=1</f>
        <v>1</v>
      </c>
      <c r="J88" s="50" t="s"/>
      <c r="K88" s="50" t="s"/>
      <c r="L88" s="50" t="s"/>
      <c r="M88" s="50" t="s"/>
      <c r="N88" s="50" t="s"/>
      <c r="O88" s="50" t="s"/>
      <c r="P88" s="50" t="s"/>
      <c r="Q88" s="50" t="s"/>
      <c r="R88" s="52" t="s"/>
    </row>
    <row r="89" spans="1:18" ht="22.5" customHeight="true">
      <c r="A89" s="44" t="s"/>
      <c r="B89" s="45" t="s">
        <v>133</v>
      </c>
      <c r="C89" s="46" t="s">
        <v>134</v>
      </c>
      <c r="D89" s="47" t="s"/>
      <c r="E89" s="42">
        <f>=F89+G89+H89+I89+J89+K89+L89+M89+N89+O89+P89+Q89</f>
        <v>1</v>
      </c>
      <c r="F89" s="46" t="s"/>
      <c r="G89" s="46" t="s"/>
      <c r="H89" s="46" t="s"/>
      <c r="I89" s="46">
        <f>=1</f>
        <v>1</v>
      </c>
      <c r="J89" s="46" t="s"/>
      <c r="K89" s="46" t="s"/>
      <c r="L89" s="46" t="s"/>
      <c r="M89" s="46" t="s"/>
      <c r="N89" s="46" t="s"/>
      <c r="O89" s="46" t="s"/>
      <c r="P89" s="46" t="s"/>
      <c r="Q89" s="46" t="s"/>
      <c r="R89" s="55" t="s"/>
    </row>
    <row r="90" spans="1:18" ht="22.5" customHeight="true">
      <c r="A90" s="38" t="s"/>
      <c r="B90" s="49" t="s">
        <v>30</v>
      </c>
      <c r="C90" s="50" t="s">
        <v>135</v>
      </c>
      <c r="D90" s="51" t="s"/>
      <c r="E90" s="42">
        <f>=F90+G90+H90+I90+J90+K90+L90+M90+N90+O90+P90+Q90</f>
        <v>0</v>
      </c>
      <c r="F90" s="50" t="s"/>
      <c r="G90" s="50" t="s"/>
      <c r="H90" s="50" t="s"/>
      <c r="I90" s="50" t="s"/>
      <c r="J90" s="50" t="s"/>
      <c r="K90" s="50" t="s"/>
      <c r="L90" s="50" t="s"/>
      <c r="M90" s="50" t="s"/>
      <c r="N90" s="50" t="s"/>
      <c r="O90" s="50" t="s"/>
      <c r="P90" s="50" t="s"/>
      <c r="Q90" s="50" t="s"/>
      <c r="R90" s="43" t="s"/>
    </row>
    <row r="91" spans="1:18" ht="22.5" customHeight="true">
      <c r="A91" s="44" t="s"/>
      <c r="B91" s="45" t="s">
        <v>35</v>
      </c>
      <c r="C91" s="46" t="s">
        <v>136</v>
      </c>
      <c r="D91" s="41" t="s"/>
      <c r="E91" s="48">
        <f>=F91+G91+H91+I91+J91+K91+L91+M91+N91+O91+P91+Q91</f>
        <v>0</v>
      </c>
      <c r="F91" s="40" t="s"/>
      <c r="G91" s="40" t="s"/>
      <c r="H91" s="40" t="s"/>
      <c r="I91" s="40" t="s"/>
      <c r="J91" s="40" t="s"/>
      <c r="K91" s="40" t="s"/>
      <c r="L91" s="40" t="s"/>
      <c r="M91" s="40" t="s"/>
      <c r="N91" s="40" t="s"/>
      <c r="O91" s="40" t="s"/>
      <c r="P91" s="40" t="s"/>
      <c r="Q91" s="40" t="s"/>
      <c r="R91" s="52" t="s"/>
    </row>
    <row r="92" spans="1:18" ht="22.5" customHeight="true">
      <c r="A92" s="38" t="s"/>
      <c r="B92" s="45" t="s">
        <v>117</v>
      </c>
      <c r="C92" s="46" t="s">
        <v>137</v>
      </c>
      <c r="D92" s="47" t="s"/>
      <c r="E92" s="42">
        <f>=F92+G92+H92+I92+J92+K92+L92+M92+N92+O92+P92+Q92</f>
        <v>0</v>
      </c>
      <c r="F92" s="46" t="s"/>
      <c r="G92" s="46" t="s"/>
      <c r="H92" s="46" t="s"/>
      <c r="I92" s="46" t="s"/>
      <c r="J92" s="46" t="s"/>
      <c r="K92" s="46" t="s"/>
      <c r="L92" s="46" t="s"/>
      <c r="M92" s="46" t="s"/>
      <c r="N92" s="46" t="s"/>
      <c r="O92" s="46" t="s"/>
      <c r="P92" s="46" t="s"/>
      <c r="Q92" s="46" t="s"/>
      <c r="R92" s="43" t="s"/>
    </row>
    <row r="93" spans="1:18" ht="22.5" customHeight="true">
      <c r="A93" s="38" t="s"/>
      <c r="B93" s="45" t="s">
        <v>17</v>
      </c>
      <c r="C93" s="46" t="s">
        <v>138</v>
      </c>
      <c r="D93" s="47" t="s"/>
      <c r="E93" s="48">
        <f>=F93+G93+H93+I93+J93+K93+L93+M93+N93+O93+P93+Q93</f>
        <v>1</v>
      </c>
      <c r="F93" s="46" t="s"/>
      <c r="G93" s="46" t="s"/>
      <c r="H93" s="46" t="s"/>
      <c r="I93" s="46">
        <f>=1</f>
        <v>1</v>
      </c>
      <c r="J93" s="46" t="s"/>
      <c r="K93" s="46" t="s"/>
      <c r="L93" s="46" t="s"/>
      <c r="M93" s="46" t="s"/>
      <c r="N93" s="46" t="s"/>
      <c r="O93" s="46" t="s"/>
      <c r="P93" s="46" t="s"/>
      <c r="Q93" s="46" t="s"/>
      <c r="R93" s="55" t="s"/>
    </row>
    <row r="94" spans="1:18" ht="22.5" customHeight="true">
      <c r="A94" s="38" t="s"/>
      <c r="B94" s="45" t="s">
        <v>67</v>
      </c>
      <c r="C94" s="46" t="s">
        <v>139</v>
      </c>
      <c r="D94" s="41" t="s"/>
      <c r="E94" s="48">
        <f>=F94+G94+H94+I94+J94+K94+L94+M94+N94+O94+P94+Q94</f>
        <v>0</v>
      </c>
      <c r="F94" s="40" t="s"/>
      <c r="G94" s="40" t="s"/>
      <c r="H94" s="40" t="s"/>
      <c r="I94" s="40" t="s"/>
      <c r="J94" s="40" t="s"/>
      <c r="K94" s="40" t="s"/>
      <c r="L94" s="40" t="s"/>
      <c r="M94" s="40" t="s"/>
      <c r="N94" s="40" t="s"/>
      <c r="O94" s="40" t="s"/>
      <c r="P94" s="40" t="s"/>
      <c r="Q94" s="40" t="s"/>
      <c r="R94" s="52" t="s"/>
    </row>
    <row r="95" spans="1:18" ht="22.5" customHeight="true">
      <c r="A95" s="44" t="s"/>
      <c r="B95" s="39" t="s">
        <v>25</v>
      </c>
      <c r="C95" s="40" t="s">
        <v>140</v>
      </c>
      <c r="D95" s="41" t="s"/>
      <c r="E95" s="48">
        <f>=F95+G95+H95+I95+J95+K95+L95+M95+N95+O95+P95+Q95</f>
        <v>0</v>
      </c>
      <c r="F95" s="40" t="s"/>
      <c r="G95" s="40" t="s"/>
      <c r="H95" s="40" t="s"/>
      <c r="I95" s="40" t="s"/>
      <c r="J95" s="40" t="s"/>
      <c r="K95" s="40" t="s"/>
      <c r="L95" s="40" t="s"/>
      <c r="M95" s="40" t="s"/>
      <c r="N95" s="40" t="s"/>
      <c r="O95" s="40" t="s"/>
      <c r="P95" s="40" t="s"/>
      <c r="Q95" s="40" t="s"/>
      <c r="R95" s="43" t="s"/>
    </row>
    <row r="96" spans="1:18" ht="22.5" customHeight="true">
      <c r="A96" s="38" t="s"/>
      <c r="B96" s="45" t="s">
        <v>8</v>
      </c>
      <c r="C96" s="46" t="s">
        <v>141</v>
      </c>
      <c r="D96" s="41" t="s"/>
      <c r="E96" s="42">
        <f>=F96+G96+H96+I96+J96+K96+L96+M96+N96+O96+P96+Q96</f>
        <v>0</v>
      </c>
      <c r="F96" s="40" t="s"/>
      <c r="G96" s="40" t="s"/>
      <c r="H96" s="40" t="s"/>
      <c r="I96" s="40" t="s"/>
      <c r="J96" s="40" t="s"/>
      <c r="K96" s="40" t="s"/>
      <c r="L96" s="40" t="s"/>
      <c r="M96" s="40" t="s"/>
      <c r="N96" s="40" t="s"/>
      <c r="O96" s="40" t="s"/>
      <c r="P96" s="40" t="s"/>
      <c r="Q96" s="40" t="s"/>
      <c r="R96" s="43" t="s"/>
    </row>
    <row r="97" spans="1:18" ht="22.5" customHeight="true">
      <c r="A97" s="38" t="s"/>
      <c r="B97" s="49" t="s">
        <v>117</v>
      </c>
      <c r="C97" s="50" t="s">
        <v>142</v>
      </c>
      <c r="D97" s="51" t="s"/>
      <c r="E97" s="42">
        <f>=F97+G97+H97+I97+J97+K97+L97+M97+N97+O97+P97+Q97</f>
        <v>1</v>
      </c>
      <c r="F97" s="50" t="s"/>
      <c r="G97" s="50" t="s"/>
      <c r="H97" s="50" t="s"/>
      <c r="I97" s="50">
        <f>=1</f>
        <v>1</v>
      </c>
      <c r="J97" s="50" t="s"/>
      <c r="K97" s="50" t="s"/>
      <c r="L97" s="50" t="s"/>
      <c r="M97" s="50" t="s"/>
      <c r="N97" s="50" t="s"/>
      <c r="O97" s="50" t="s"/>
      <c r="P97" s="50" t="s"/>
      <c r="Q97" s="50" t="s"/>
      <c r="R97" s="43" t="s"/>
    </row>
    <row r="98" spans="1:18" ht="22.5" customHeight="true">
      <c r="A98" s="38" t="s"/>
      <c r="B98" s="45" t="s">
        <v>117</v>
      </c>
      <c r="C98" s="46" t="s">
        <v>143</v>
      </c>
      <c r="D98" s="41" t="s"/>
      <c r="E98" s="48">
        <f>=F98+G98+H98+I98+J98+K98+L98+M98+N98+O98+P98+Q98</f>
        <v>1</v>
      </c>
      <c r="F98" s="40" t="s"/>
      <c r="G98" s="40" t="s"/>
      <c r="H98" s="40" t="s"/>
      <c r="I98" s="40">
        <f>=1</f>
        <v>1</v>
      </c>
      <c r="J98" s="40" t="s"/>
      <c r="K98" s="40" t="s"/>
      <c r="L98" s="40" t="s"/>
      <c r="M98" s="40" t="s"/>
      <c r="N98" s="40" t="s"/>
      <c r="O98" s="40" t="s"/>
      <c r="P98" s="40" t="s"/>
      <c r="Q98" s="40" t="s"/>
      <c r="R98" s="43" t="s"/>
    </row>
    <row r="99" spans="1:18" ht="22.5" customHeight="true">
      <c r="A99" s="38" t="s"/>
      <c r="B99" s="45" t="s">
        <v>14</v>
      </c>
      <c r="C99" s="46" t="s">
        <v>144</v>
      </c>
      <c r="D99" s="41" t="s"/>
      <c r="E99" s="48">
        <f>=F99+G99+H99+I99+J99+K99+L99+M99+N99+O99+P99+Q99</f>
        <v>0</v>
      </c>
      <c r="F99" s="40" t="s"/>
      <c r="G99" s="40" t="s"/>
      <c r="H99" s="40" t="s"/>
      <c r="I99" s="40" t="s"/>
      <c r="J99" s="40" t="s"/>
      <c r="K99" s="40" t="s"/>
      <c r="L99" s="40" t="s"/>
      <c r="M99" s="40" t="s"/>
      <c r="N99" s="40" t="s"/>
      <c r="O99" s="40" t="s"/>
      <c r="P99" s="40" t="s"/>
      <c r="Q99" s="40" t="s"/>
      <c r="R99" s="43" t="s"/>
    </row>
    <row r="100" spans="1:18" ht="22.5" customHeight="true">
      <c r="A100" s="53" t="s"/>
      <c r="B100" s="45" t="s">
        <v>30</v>
      </c>
      <c r="C100" s="63" t="s">
        <v>234</v>
      </c>
      <c r="D100" s="64" t="s"/>
      <c r="E100" s="42">
        <f>=F100+G100+H100+I100+J100+K100+L100+M100+N100+O100+P100+Q100</f>
        <v>0</v>
      </c>
      <c r="F100" s="65" t="s"/>
      <c r="G100" s="65" t="s"/>
      <c r="H100" s="65" t="s"/>
      <c r="I100" s="65" t="s"/>
      <c r="J100" s="65" t="s"/>
      <c r="K100" s="65" t="s"/>
      <c r="L100" s="65" t="s"/>
      <c r="M100" s="65" t="s"/>
      <c r="N100" s="65" t="s"/>
      <c r="O100" s="65" t="s"/>
      <c r="P100" s="65" t="s"/>
      <c r="Q100" s="65" t="s"/>
      <c r="R100" s="43" t="s"/>
    </row>
    <row r="101" spans="1:18" ht="22.5" customHeight="true">
      <c r="A101" s="44" t="s"/>
      <c r="B101" s="45" t="s">
        <v>25</v>
      </c>
      <c r="C101" s="46" t="s">
        <v>145</v>
      </c>
      <c r="D101" s="47" t="s"/>
      <c r="E101" s="42">
        <f>=F101+G101+H101+I101+J101+K101+L101+M101+N101+O101+P101+Q101</f>
        <v>1</v>
      </c>
      <c r="F101" s="46" t="s"/>
      <c r="G101" s="46" t="s"/>
      <c r="H101" s="46" t="s"/>
      <c r="I101" s="46">
        <f>=1</f>
        <v>1</v>
      </c>
      <c r="J101" s="46" t="s"/>
      <c r="K101" s="46" t="s"/>
      <c r="L101" s="46" t="s"/>
      <c r="M101" s="46" t="s"/>
      <c r="N101" s="46" t="s"/>
      <c r="O101" s="46" t="s"/>
      <c r="P101" s="46" t="s"/>
      <c r="Q101" s="46" t="s"/>
      <c r="R101" s="43" t="s"/>
    </row>
    <row r="102" spans="1:18" ht="22.5" customHeight="true">
      <c r="A102" s="44" t="s"/>
      <c r="B102" s="45" t="s">
        <v>30</v>
      </c>
      <c r="C102" s="46" t="s">
        <v>146</v>
      </c>
      <c r="D102" s="51" t="s"/>
      <c r="E102" s="42">
        <f>=F102+G102+H102+I102+J102+K102+L102+M102+N102+O102+P102+Q102</f>
        <v>0</v>
      </c>
      <c r="F102" s="46" t="s"/>
      <c r="G102" s="46" t="s"/>
      <c r="H102" s="46" t="s"/>
      <c r="I102" s="46" t="s"/>
      <c r="J102" s="46" t="s"/>
      <c r="K102" s="46" t="s"/>
      <c r="L102" s="46" t="s"/>
      <c r="M102" s="46" t="s"/>
      <c r="N102" s="46" t="s"/>
      <c r="O102" s="46" t="s"/>
      <c r="P102" s="46" t="s"/>
      <c r="Q102" s="46" t="s"/>
      <c r="R102" s="43" t="s"/>
    </row>
    <row r="103" spans="1:18" ht="22.5" customHeight="true">
      <c r="A103" s="38" t="s"/>
      <c r="B103" s="45" t="s">
        <v>64</v>
      </c>
      <c r="C103" s="46" t="s">
        <v>147</v>
      </c>
      <c r="D103" s="47" t="s"/>
      <c r="E103" s="48">
        <f>=F103+G103+H103+I103+J103+K103+L103+M103+N103+O103+P103+Q103</f>
        <v>0</v>
      </c>
      <c r="F103" s="46" t="s"/>
      <c r="G103" s="46" t="s"/>
      <c r="H103" s="46" t="s"/>
      <c r="I103" s="46" t="s"/>
      <c r="J103" s="46" t="s"/>
      <c r="K103" s="46" t="s"/>
      <c r="L103" s="46" t="s"/>
      <c r="M103" s="46" t="s"/>
      <c r="N103" s="46" t="s"/>
      <c r="O103" s="46" t="s"/>
      <c r="P103" s="46" t="s"/>
      <c r="Q103" s="46" t="s"/>
      <c r="R103" s="55" t="s"/>
    </row>
    <row r="104" spans="1:18" ht="22.5" customHeight="true">
      <c r="A104" s="44" t="s"/>
      <c r="B104" s="45" t="s">
        <v>25</v>
      </c>
      <c r="C104" s="46" t="s">
        <v>148</v>
      </c>
      <c r="D104" s="41" t="s"/>
      <c r="E104" s="42">
        <f>=F104+G104+H104+I104+J104+K104+L104+M104+N104+O104+P104+Q104</f>
        <v>0</v>
      </c>
      <c r="F104" s="40" t="s"/>
      <c r="G104" s="40" t="s"/>
      <c r="H104" s="40" t="s"/>
      <c r="I104" s="40" t="s"/>
      <c r="J104" s="40" t="s"/>
      <c r="K104" s="40" t="s"/>
      <c r="L104" s="40" t="s"/>
      <c r="M104" s="40" t="s"/>
      <c r="N104" s="40" t="s"/>
      <c r="O104" s="40" t="s"/>
      <c r="P104" s="40" t="s"/>
      <c r="Q104" s="40" t="s"/>
      <c r="R104" s="43" t="s"/>
    </row>
    <row r="105" spans="1:18" ht="22.5" customHeight="true">
      <c r="A105" s="58" t="s"/>
      <c r="B105" s="66" t="s">
        <v>67</v>
      </c>
      <c r="C105" s="67" t="s">
        <v>149</v>
      </c>
      <c r="D105" s="68" t="s"/>
      <c r="E105" s="48">
        <f>=F105+G105+H105+I105+J105+K105+L105+M105+N105+O105+P105+Q105</f>
        <v>0</v>
      </c>
      <c r="F105" s="67" t="s"/>
      <c r="G105" s="67" t="s"/>
      <c r="H105" s="67" t="s"/>
      <c r="I105" s="67" t="s"/>
      <c r="J105" s="67" t="s"/>
      <c r="K105" s="67" t="s"/>
      <c r="L105" s="67" t="s"/>
      <c r="M105" s="67" t="s"/>
      <c r="N105" s="67" t="s"/>
      <c r="O105" s="67" t="s"/>
      <c r="P105" s="67" t="s"/>
      <c r="Q105" s="67" t="s"/>
      <c r="R105" s="43" t="s"/>
    </row>
    <row r="106" spans="1:18" ht="22.5" customHeight="true">
      <c r="A106" s="38" t="s"/>
      <c r="B106" s="45" t="s">
        <v>25</v>
      </c>
      <c r="C106" s="46" t="s">
        <v>150</v>
      </c>
      <c r="D106" s="47" t="s"/>
      <c r="E106" s="42">
        <f>=F106+G106+H106+I106+J106+K106+L106+M106+N106+O106+P106+Q106</f>
        <v>0</v>
      </c>
      <c r="F106" s="46" t="s"/>
      <c r="G106" s="46" t="s"/>
      <c r="H106" s="46" t="s"/>
      <c r="I106" s="46" t="s"/>
      <c r="J106" s="46" t="s"/>
      <c r="K106" s="46" t="s"/>
      <c r="L106" s="46" t="s"/>
      <c r="M106" s="46" t="s"/>
      <c r="N106" s="46" t="s"/>
      <c r="O106" s="46" t="s"/>
      <c r="P106" s="46" t="s"/>
      <c r="Q106" s="46" t="s"/>
      <c r="R106" s="52" t="s"/>
    </row>
    <row r="107" spans="1:18" ht="22.5" customHeight="true">
      <c r="A107" s="44" t="s"/>
      <c r="B107" s="39" t="s">
        <v>8</v>
      </c>
      <c r="C107" s="46" t="s">
        <v>151</v>
      </c>
      <c r="D107" s="41" t="s"/>
      <c r="E107" s="42">
        <f>=F107+G107+H107+I107+J107+K107+L107+M107+N107+O107+P107+Q107</f>
        <v>0</v>
      </c>
      <c r="F107" s="40" t="s"/>
      <c r="G107" s="40" t="s"/>
      <c r="H107" s="40" t="s"/>
      <c r="I107" s="40" t="s"/>
      <c r="J107" s="40" t="s"/>
      <c r="K107" s="40" t="s"/>
      <c r="L107" s="40" t="s"/>
      <c r="M107" s="40" t="s"/>
      <c r="N107" s="40" t="s"/>
      <c r="O107" s="40" t="s"/>
      <c r="P107" s="40" t="s"/>
      <c r="Q107" s="40" t="s"/>
      <c r="R107" s="52" t="s"/>
    </row>
    <row r="108" spans="1:18" ht="22.5" customHeight="true">
      <c r="A108" s="44" t="s"/>
      <c r="B108" s="45" t="s">
        <v>37</v>
      </c>
      <c r="C108" s="46" t="s">
        <v>152</v>
      </c>
      <c r="D108" s="47" t="s"/>
      <c r="E108" s="48">
        <f>=F108+G108+H108+I108+J108+K108+L108+M108+N108+O108+P108+Q108</f>
        <v>0</v>
      </c>
      <c r="F108" s="46" t="s"/>
      <c r="G108" s="46" t="s"/>
      <c r="H108" s="46" t="s"/>
      <c r="I108" s="46" t="s"/>
      <c r="J108" s="46" t="s"/>
      <c r="K108" s="46" t="s"/>
      <c r="L108" s="46" t="s"/>
      <c r="M108" s="46" t="s"/>
      <c r="N108" s="46" t="s"/>
      <c r="O108" s="46" t="s"/>
      <c r="P108" s="46" t="s"/>
      <c r="Q108" s="46" t="s"/>
      <c r="R108" s="60" t="s"/>
    </row>
    <row r="109" spans="1:18" ht="22.5" customHeight="true">
      <c r="A109" s="44" t="s"/>
      <c r="B109" s="45" t="s">
        <v>30</v>
      </c>
      <c r="C109" s="46" t="s">
        <v>153</v>
      </c>
      <c r="D109" s="47" t="s"/>
      <c r="E109" s="42">
        <f>=F109+G109+H109+I109+J109+K109+L109+M109+N109+O109+P109+Q109</f>
        <v>0</v>
      </c>
      <c r="F109" s="46" t="s"/>
      <c r="G109" s="46" t="s"/>
      <c r="H109" s="46" t="s"/>
      <c r="I109" s="46" t="s"/>
      <c r="J109" s="46" t="s"/>
      <c r="K109" s="46" t="s"/>
      <c r="L109" s="46" t="s"/>
      <c r="M109" s="46" t="s"/>
      <c r="N109" s="46" t="s"/>
      <c r="O109" s="46" t="s"/>
      <c r="P109" s="46" t="s"/>
      <c r="Q109" s="46" t="s"/>
      <c r="R109" s="60" t="s"/>
    </row>
    <row r="110" spans="1:18" ht="22.5" customHeight="true">
      <c r="A110" s="38" t="s"/>
      <c r="B110" s="49" t="s">
        <v>117</v>
      </c>
      <c r="C110" s="50" t="s">
        <v>154</v>
      </c>
      <c r="D110" s="51" t="s"/>
      <c r="E110" s="42">
        <f>=F110+G110+H110+I110+J110+K110+L110+M110+N110+O110+P110+Q110</f>
        <v>0</v>
      </c>
      <c r="F110" s="50" t="s"/>
      <c r="G110" s="50" t="s"/>
      <c r="H110" s="50" t="s"/>
      <c r="I110" s="50" t="s"/>
      <c r="J110" s="50" t="s"/>
      <c r="K110" s="50" t="s"/>
      <c r="L110" s="50" t="s"/>
      <c r="M110" s="50" t="s"/>
      <c r="N110" s="50" t="s"/>
      <c r="O110" s="50" t="s"/>
      <c r="P110" s="50" t="s"/>
      <c r="Q110" s="50" t="s"/>
      <c r="R110" s="43" t="s"/>
    </row>
    <row r="111" spans="1:18" ht="22.5" customHeight="true">
      <c r="A111" s="38" t="s"/>
      <c r="B111" s="49" t="s">
        <v>117</v>
      </c>
      <c r="C111" s="50" t="s">
        <v>155</v>
      </c>
      <c r="D111" s="51" t="s"/>
      <c r="E111" s="42">
        <f>=F111+G111+H111+I111+J111+K111+L111+M111+N111+O111+P111+Q111</f>
        <v>1</v>
      </c>
      <c r="F111" s="50" t="s"/>
      <c r="G111" s="50" t="s"/>
      <c r="H111" s="50" t="s"/>
      <c r="I111" s="50">
        <v>1</v>
      </c>
      <c r="J111" s="50" t="s"/>
      <c r="K111" s="50" t="s"/>
      <c r="L111" s="50" t="s"/>
      <c r="M111" s="50" t="s"/>
      <c r="N111" s="50" t="s"/>
      <c r="O111" s="50" t="s"/>
      <c r="P111" s="50" t="s"/>
      <c r="Q111" s="50" t="s"/>
      <c r="R111" s="43" t="s"/>
    </row>
    <row r="112" spans="1:18" ht="22.5" customHeight="true">
      <c r="A112" s="38" t="s"/>
      <c r="B112" s="45" t="s">
        <v>35</v>
      </c>
      <c r="C112" s="40" t="s">
        <v>156</v>
      </c>
      <c r="D112" s="56" t="s"/>
      <c r="E112" s="42">
        <f>=F112+G112+H112+I112+J112+K112+L112+M112+N112+O112+P112+Q112</f>
        <v>0</v>
      </c>
      <c r="F112" s="40" t="s"/>
      <c r="G112" s="40" t="s"/>
      <c r="H112" s="40" t="s"/>
      <c r="I112" s="40" t="s"/>
      <c r="J112" s="40" t="s"/>
      <c r="K112" s="40" t="s"/>
      <c r="L112" s="40" t="s"/>
      <c r="M112" s="40" t="s"/>
      <c r="N112" s="40" t="s"/>
      <c r="O112" s="40" t="s"/>
      <c r="P112" s="40" t="s"/>
      <c r="Q112" s="40" t="s"/>
      <c r="R112" s="43" t="s"/>
    </row>
    <row r="113" spans="1:18" ht="22.5" customHeight="true">
      <c r="A113" s="38" t="s"/>
      <c r="B113" s="49" t="s">
        <v>25</v>
      </c>
      <c r="C113" s="40" t="s">
        <v>157</v>
      </c>
      <c r="D113" s="41" t="s"/>
      <c r="E113" s="42">
        <f>=F113+G113+H113+I113+J113+K113+L113+M113+N113+O113+P113+Q113</f>
        <v>0</v>
      </c>
      <c r="F113" s="40" t="s"/>
      <c r="G113" s="40" t="s"/>
      <c r="H113" s="40" t="s"/>
      <c r="I113" s="40" t="s"/>
      <c r="J113" s="40" t="s"/>
      <c r="K113" s="40" t="s"/>
      <c r="L113" s="40" t="s"/>
      <c r="M113" s="40" t="s"/>
      <c r="N113" s="40" t="s"/>
      <c r="O113" s="40" t="s"/>
      <c r="P113" s="40" t="s"/>
      <c r="Q113" s="40" t="s"/>
      <c r="R113" s="43" t="s"/>
    </row>
    <row r="114" spans="1:18" ht="22.5" customHeight="true">
      <c r="A114" s="44" t="s"/>
      <c r="B114" s="45" t="s">
        <v>8</v>
      </c>
      <c r="C114" s="46" t="s">
        <v>158</v>
      </c>
      <c r="D114" s="47" t="s"/>
      <c r="E114" s="48">
        <f>=F114+G114+H114+I114+J114+K114+L114+M114+N114+O114+P114+Q114</f>
        <v>1</v>
      </c>
      <c r="F114" s="46" t="s"/>
      <c r="G114" s="46" t="s"/>
      <c r="H114" s="46" t="s"/>
      <c r="I114" s="46">
        <f>=1</f>
        <v>1</v>
      </c>
      <c r="J114" s="46" t="s"/>
      <c r="K114" s="46" t="s"/>
      <c r="L114" s="46" t="s"/>
      <c r="M114" s="46" t="s"/>
      <c r="N114" s="46" t="s"/>
      <c r="O114" s="46" t="s"/>
      <c r="P114" s="46" t="s"/>
      <c r="Q114" s="46" t="s"/>
      <c r="R114" s="43" t="s"/>
    </row>
    <row r="115" spans="1:18" ht="22.5" customHeight="true">
      <c r="A115" s="38" t="s"/>
      <c r="B115" s="45" t="s">
        <v>44</v>
      </c>
      <c r="C115" s="46" t="s">
        <v>159</v>
      </c>
      <c r="D115" s="47" t="s"/>
      <c r="E115" s="42">
        <f>=F115+G115+H115+I115+J115+K115+L115+M115+N115+O115+P115+Q115</f>
        <v>1</v>
      </c>
      <c r="F115" s="46" t="s"/>
      <c r="G115" s="46" t="s"/>
      <c r="H115" s="46" t="s"/>
      <c r="I115" s="46">
        <v>1</v>
      </c>
      <c r="J115" s="46" t="s"/>
      <c r="K115" s="46" t="s"/>
      <c r="L115" s="46" t="s"/>
      <c r="M115" s="46" t="s"/>
      <c r="N115" s="46" t="s"/>
      <c r="O115" s="46" t="s"/>
      <c r="P115" s="46" t="s"/>
      <c r="Q115" s="46" t="s"/>
      <c r="R115" s="43" t="s"/>
    </row>
    <row r="116" spans="1:18" ht="22.5" customHeight="true">
      <c r="A116" s="38" t="s"/>
      <c r="B116" s="45" t="s">
        <v>133</v>
      </c>
      <c r="C116" s="46" t="s">
        <v>160</v>
      </c>
      <c r="D116" s="47" t="s"/>
      <c r="E116" s="42">
        <f>=F116+G116+H116+I116+J116+K116+L116+M116+N116+O116+P116+Q116</f>
        <v>1</v>
      </c>
      <c r="F116" s="46" t="s"/>
      <c r="G116" s="46" t="s"/>
      <c r="H116" s="46" t="s"/>
      <c r="I116" s="46">
        <f>=1</f>
        <v>1</v>
      </c>
      <c r="J116" s="46" t="s"/>
      <c r="K116" s="46" t="s"/>
      <c r="L116" s="46" t="s"/>
      <c r="M116" s="46" t="s"/>
      <c r="N116" s="46" t="s"/>
      <c r="O116" s="46" t="s"/>
      <c r="P116" s="46" t="s"/>
      <c r="Q116" s="46" t="s"/>
      <c r="R116" s="43" t="s"/>
    </row>
    <row r="117" spans="1:18" ht="22.5" customHeight="true">
      <c r="A117" s="38" t="s"/>
      <c r="B117" s="45" t="s">
        <v>133</v>
      </c>
      <c r="C117" s="46" t="s">
        <v>161</v>
      </c>
      <c r="D117" s="47" t="s"/>
      <c r="E117" s="42">
        <f>=F117+G117+H117+I117+J117+K117+L117+M117+N117+O117+P117+Q117</f>
        <v>1</v>
      </c>
      <c r="F117" s="46" t="s"/>
      <c r="G117" s="46" t="s"/>
      <c r="H117" s="46" t="s"/>
      <c r="I117" s="46">
        <v>1</v>
      </c>
      <c r="J117" s="46" t="s"/>
      <c r="K117" s="46" t="s"/>
      <c r="L117" s="46" t="s"/>
      <c r="M117" s="46" t="s"/>
      <c r="N117" s="46" t="s"/>
      <c r="O117" s="46" t="s"/>
      <c r="P117" s="46" t="s"/>
      <c r="Q117" s="46" t="s"/>
      <c r="R117" s="43" t="s"/>
    </row>
    <row r="118" spans="1:18" ht="22.5" customHeight="true">
      <c r="A118" s="38" t="s"/>
      <c r="B118" s="45" t="s">
        <v>133</v>
      </c>
      <c r="C118" s="46" t="s">
        <v>162</v>
      </c>
      <c r="D118" s="47" t="s"/>
      <c r="E118" s="42">
        <f>=F118+G118+H118+I118+J118+K118+L118+M118+N118+O118+P118+Q118</f>
        <v>1</v>
      </c>
      <c r="F118" s="46" t="s"/>
      <c r="G118" s="46" t="s"/>
      <c r="H118" s="46" t="s"/>
      <c r="I118" s="46">
        <v>1</v>
      </c>
      <c r="J118" s="46" t="s"/>
      <c r="K118" s="46" t="s"/>
      <c r="L118" s="46" t="s"/>
      <c r="M118" s="46" t="s"/>
      <c r="N118" s="46" t="s"/>
      <c r="O118" s="46" t="s"/>
      <c r="P118" s="46" t="s"/>
      <c r="Q118" s="46" t="s"/>
      <c r="R118" s="43" t="s"/>
    </row>
    <row r="119" spans="1:18" ht="22.5" customHeight="true">
      <c r="A119" s="38" t="s"/>
      <c r="B119" s="45" t="s">
        <v>133</v>
      </c>
      <c r="C119" s="46" t="s">
        <v>163</v>
      </c>
      <c r="D119" s="47" t="s"/>
      <c r="E119" s="42">
        <f>=F119+G119+H119+I119+J119+K119+L119+M119+N119+O119+P119+Q119</f>
        <v>1</v>
      </c>
      <c r="F119" s="46" t="s"/>
      <c r="G119" s="46" t="s"/>
      <c r="H119" s="46" t="s"/>
      <c r="I119" s="46">
        <v>1</v>
      </c>
      <c r="J119" s="46" t="s"/>
      <c r="K119" s="46" t="s"/>
      <c r="L119" s="46" t="s"/>
      <c r="M119" s="46" t="s"/>
      <c r="N119" s="46" t="s"/>
      <c r="O119" s="46" t="s"/>
      <c r="P119" s="46" t="s"/>
      <c r="Q119" s="46" t="s"/>
      <c r="R119" s="43" t="s"/>
    </row>
    <row r="120" spans="1:18" ht="22.5" customHeight="true">
      <c r="A120" s="38" t="s"/>
      <c r="B120" s="49" t="s">
        <v>131</v>
      </c>
      <c r="C120" s="50" t="s">
        <v>164</v>
      </c>
      <c r="D120" s="51" t="s"/>
      <c r="E120" s="42">
        <f>=F120+G120+H120+I120+J120+K120+L120+M120+N120+O120+P120+Q120</f>
        <v>0</v>
      </c>
      <c r="F120" s="50" t="s"/>
      <c r="G120" s="50" t="s"/>
      <c r="H120" s="50" t="s"/>
      <c r="I120" s="50" t="s"/>
      <c r="J120" s="50" t="s"/>
      <c r="K120" s="50" t="s"/>
      <c r="L120" s="50" t="s"/>
      <c r="M120" s="50" t="s"/>
      <c r="N120" s="50" t="s"/>
      <c r="O120" s="50" t="s"/>
      <c r="P120" s="50" t="s"/>
      <c r="Q120" s="50" t="s"/>
      <c r="R120" s="52" t="s"/>
    </row>
    <row r="121" spans="1:18" ht="22.5" customHeight="true">
      <c r="A121" s="38" t="s"/>
      <c r="B121" s="49" t="s">
        <v>131</v>
      </c>
      <c r="C121" s="50" t="s">
        <v>165</v>
      </c>
      <c r="D121" s="51" t="s"/>
      <c r="E121" s="42">
        <f>=F121+G121+H121+I121+J121+K121+L121+M121+N121+O121+P121+Q121</f>
        <v>0</v>
      </c>
      <c r="F121" s="50" t="s"/>
      <c r="G121" s="50" t="s"/>
      <c r="H121" s="50" t="s"/>
      <c r="I121" s="50" t="s"/>
      <c r="J121" s="50" t="s"/>
      <c r="K121" s="50" t="s"/>
      <c r="L121" s="50" t="s"/>
      <c r="M121" s="50" t="s"/>
      <c r="N121" s="50" t="s"/>
      <c r="O121" s="50" t="s"/>
      <c r="P121" s="50" t="s"/>
      <c r="Q121" s="50" t="s"/>
      <c r="R121" s="52" t="s"/>
    </row>
    <row r="122" spans="1:18" ht="22.5" customHeight="true">
      <c r="A122" s="38" t="s"/>
      <c r="B122" s="49" t="s">
        <v>131</v>
      </c>
      <c r="C122" s="50" t="s">
        <v>166</v>
      </c>
      <c r="D122" s="51" t="s"/>
      <c r="E122" s="42">
        <f>=F122+G122+H122+I122+J122+K122+L122+M122+N122+O122+P122+Q122</f>
        <v>0</v>
      </c>
      <c r="F122" s="50" t="s"/>
      <c r="G122" s="50" t="s"/>
      <c r="H122" s="50" t="s"/>
      <c r="I122" s="50" t="s"/>
      <c r="J122" s="50" t="s"/>
      <c r="K122" s="50" t="s"/>
      <c r="L122" s="50" t="s"/>
      <c r="M122" s="50" t="s"/>
      <c r="N122" s="50" t="s"/>
      <c r="O122" s="50" t="s"/>
      <c r="P122" s="50" t="s"/>
      <c r="Q122" s="50" t="s"/>
      <c r="R122" s="55" t="s"/>
    </row>
    <row r="123" spans="1:18" ht="22.5" customHeight="true">
      <c r="A123" s="53" t="s"/>
      <c r="B123" s="69" t="s">
        <v>131</v>
      </c>
      <c r="C123" s="70" t="s">
        <v>167</v>
      </c>
      <c r="D123" s="71" t="s"/>
      <c r="E123" s="48">
        <f>=F123+G123+H123+I123+J123+K123+L123+M123+N123+O123+P123+Q123</f>
        <v>0</v>
      </c>
      <c r="F123" s="70" t="s"/>
      <c r="G123" s="70" t="s"/>
      <c r="H123" s="70" t="s"/>
      <c r="I123" s="70" t="s"/>
      <c r="J123" s="70" t="s"/>
      <c r="K123" s="70" t="s"/>
      <c r="L123" s="70" t="s"/>
      <c r="M123" s="70" t="s"/>
      <c r="N123" s="70" t="s"/>
      <c r="O123" s="70" t="s"/>
      <c r="P123" s="70" t="s"/>
      <c r="Q123" s="70" t="s"/>
      <c r="R123" s="55" t="s"/>
    </row>
    <row r="124" spans="1:18" ht="22.5" customHeight="true">
      <c r="A124" s="58" t="s"/>
      <c r="B124" s="66" t="s">
        <v>131</v>
      </c>
      <c r="C124" s="67" t="s">
        <v>168</v>
      </c>
      <c r="D124" s="68" t="s"/>
      <c r="E124" s="42">
        <f>=F124+G124+H124+I124+J124+K124+L124+M124+N124+O124+P124+Q124</f>
        <v>0</v>
      </c>
      <c r="F124" s="67" t="s"/>
      <c r="G124" s="67" t="s"/>
      <c r="H124" s="67" t="s"/>
      <c r="I124" s="67" t="s"/>
      <c r="J124" s="67" t="s"/>
      <c r="K124" s="67" t="s"/>
      <c r="L124" s="67" t="s"/>
      <c r="M124" s="67" t="s"/>
      <c r="N124" s="67" t="s"/>
      <c r="O124" s="67" t="s"/>
      <c r="P124" s="67" t="s"/>
      <c r="Q124" s="67" t="s"/>
      <c r="R124" s="55" t="s"/>
    </row>
    <row r="125" spans="1:18" ht="22.5" customHeight="true">
      <c r="A125" s="58" t="s"/>
      <c r="B125" s="66" t="s">
        <v>131</v>
      </c>
      <c r="C125" s="67" t="s">
        <v>169</v>
      </c>
      <c r="D125" s="68" t="s"/>
      <c r="E125" s="42">
        <f>=F125+G125+H125+I125+J125+K125+L125+M125+N125+O125+P125+Q125</f>
        <v>0</v>
      </c>
      <c r="F125" s="67" t="s"/>
      <c r="G125" s="67" t="s"/>
      <c r="H125" s="67" t="s"/>
      <c r="I125" s="67" t="s"/>
      <c r="J125" s="67" t="s"/>
      <c r="K125" s="67" t="s"/>
      <c r="L125" s="67" t="s"/>
      <c r="M125" s="67" t="s"/>
      <c r="N125" s="67" t="s"/>
      <c r="O125" s="67" t="s"/>
      <c r="P125" s="67" t="s"/>
      <c r="Q125" s="67" t="s"/>
      <c r="R125" s="60" t="s"/>
    </row>
    <row r="126" spans="1:18" ht="22.5" customHeight="true">
      <c r="A126" s="44" t="s"/>
      <c r="B126" s="45" t="s">
        <v>64</v>
      </c>
      <c r="C126" s="46" t="s">
        <v>170</v>
      </c>
      <c r="D126" s="47" t="s"/>
      <c r="E126" s="42">
        <f>=F126+G126+H126+I126+J126+K126+L126+M126+N126+O126+P126+Q126</f>
        <v>0</v>
      </c>
      <c r="F126" s="46" t="s"/>
      <c r="G126" s="46" t="s"/>
      <c r="H126" s="46" t="s"/>
      <c r="I126" s="46" t="s"/>
      <c r="J126" s="46" t="s"/>
      <c r="K126" s="46" t="s"/>
      <c r="L126" s="46" t="s"/>
      <c r="M126" s="46" t="s"/>
      <c r="N126" s="46" t="s"/>
      <c r="O126" s="46" t="s"/>
      <c r="P126" s="46" t="s"/>
      <c r="Q126" s="46" t="s"/>
      <c r="R126" s="55" t="s"/>
    </row>
    <row r="127" spans="1:18" ht="22.5" customHeight="true">
      <c r="A127" s="44" t="s"/>
      <c r="B127" s="45" t="s">
        <v>37</v>
      </c>
      <c r="C127" s="46" t="s">
        <v>171</v>
      </c>
      <c r="D127" s="47" t="s"/>
      <c r="E127" s="42">
        <f>=F127+G127+H127+I127+J127+K127+L127+M127+N127+O127+P127+Q127</f>
        <v>0</v>
      </c>
      <c r="F127" s="46" t="s"/>
      <c r="G127" s="46" t="s"/>
      <c r="H127" s="46" t="s"/>
      <c r="I127" s="46" t="s"/>
      <c r="J127" s="46" t="s"/>
      <c r="K127" s="46" t="s"/>
      <c r="L127" s="46" t="s"/>
      <c r="M127" s="46" t="s"/>
      <c r="N127" s="46" t="s"/>
      <c r="O127" s="46" t="s"/>
      <c r="P127" s="46" t="s"/>
      <c r="Q127" s="46" t="s"/>
      <c r="R127" s="55" t="s"/>
    </row>
    <row r="128" spans="1:18" ht="22.5" customHeight="true">
      <c r="A128" s="44" t="s"/>
      <c r="B128" s="39" t="s">
        <v>39</v>
      </c>
      <c r="C128" s="40" t="s">
        <v>172</v>
      </c>
      <c r="D128" s="41" t="s"/>
      <c r="E128" s="42">
        <f>=F128+G128+H128+I128+J128+K128+L128+M128+N128+O128+P128+Q128</f>
        <v>1</v>
      </c>
      <c r="F128" s="40" t="s"/>
      <c r="G128" s="40" t="s"/>
      <c r="H128" s="40" t="s"/>
      <c r="I128" s="40">
        <f>=1</f>
        <v>1</v>
      </c>
      <c r="J128" s="40" t="s"/>
      <c r="K128" s="40" t="s"/>
      <c r="L128" s="40" t="s"/>
      <c r="M128" s="40" t="s"/>
      <c r="N128" s="40" t="s"/>
      <c r="O128" s="40" t="s"/>
      <c r="P128" s="40" t="s"/>
      <c r="Q128" s="40" t="s"/>
      <c r="R128" s="43" t="s"/>
    </row>
    <row r="129" spans="1:18" ht="22.5" customHeight="true">
      <c r="A129" s="44" t="s"/>
      <c r="B129" s="45" t="s">
        <v>37</v>
      </c>
      <c r="C129" s="46" t="s">
        <v>173</v>
      </c>
      <c r="D129" s="47" t="s"/>
      <c r="E129" s="42">
        <f>=F129+G129+H129+I129+J129+K129+L129+M129+N129+O129+P129+Q129</f>
        <v>0</v>
      </c>
      <c r="F129" s="46" t="s"/>
      <c r="G129" s="46" t="s"/>
      <c r="H129" s="46" t="s"/>
      <c r="I129" s="46" t="s"/>
      <c r="J129" s="46" t="s"/>
      <c r="K129" s="46" t="s"/>
      <c r="L129" s="46" t="s"/>
      <c r="M129" s="46" t="s"/>
      <c r="N129" s="46" t="s"/>
      <c r="O129" s="46" t="s"/>
      <c r="P129" s="46" t="s"/>
      <c r="Q129" s="46" t="s"/>
      <c r="R129" s="43" t="s"/>
    </row>
    <row r="130" spans="1:18" ht="22.5" customHeight="true">
      <c r="A130" s="44" t="s"/>
      <c r="B130" s="45" t="s">
        <v>64</v>
      </c>
      <c r="C130" s="46" t="s">
        <v>174</v>
      </c>
      <c r="D130" s="47" t="s"/>
      <c r="E130" s="48">
        <f>=F130+G130+H130+I130+J130+K130+L130+M130+N130+O130+P130+Q130</f>
        <v>0</v>
      </c>
      <c r="F130" s="46" t="s"/>
      <c r="G130" s="46" t="s"/>
      <c r="H130" s="46" t="s"/>
      <c r="I130" s="46" t="s"/>
      <c r="J130" s="46" t="s"/>
      <c r="K130" s="46" t="s"/>
      <c r="L130" s="46" t="s"/>
      <c r="M130" s="46" t="s"/>
      <c r="N130" s="46" t="s"/>
      <c r="O130" s="46" t="s"/>
      <c r="P130" s="46" t="s"/>
      <c r="Q130" s="46" t="s"/>
      <c r="R130" s="43" t="s"/>
    </row>
    <row r="131" spans="1:18" ht="22.5" customHeight="true">
      <c r="A131" s="44" t="s"/>
      <c r="B131" s="45" t="s">
        <v>30</v>
      </c>
      <c r="C131" s="46" t="s">
        <v>175</v>
      </c>
      <c r="D131" s="51" t="s"/>
      <c r="E131" s="42">
        <f>=F131+G131+H131+I131+J131+K131+L131+M131+N131+O131+P131+Q131</f>
        <v>0</v>
      </c>
      <c r="F131" s="46" t="s"/>
      <c r="G131" s="46" t="s"/>
      <c r="H131" s="46" t="s"/>
      <c r="I131" s="46" t="s"/>
      <c r="J131" s="46" t="s"/>
      <c r="K131" s="46" t="s"/>
      <c r="L131" s="46" t="s"/>
      <c r="M131" s="46" t="s"/>
      <c r="N131" s="46" t="s"/>
      <c r="O131" s="46" t="s"/>
      <c r="P131" s="46" t="s"/>
      <c r="Q131" s="46" t="s"/>
      <c r="R131" s="52" t="s"/>
    </row>
    <row r="132" spans="1:18" ht="22.5" customHeight="true">
      <c r="A132" s="44" t="s"/>
      <c r="B132" s="45" t="s">
        <v>35</v>
      </c>
      <c r="C132" s="46" t="s">
        <v>176</v>
      </c>
      <c r="D132" s="47" t="s"/>
      <c r="E132" s="42">
        <f>=F132+G132+H132+I132+J132+K132+L132+M132+N132+O132+P132+Q132</f>
        <v>0</v>
      </c>
      <c r="F132" s="46" t="s"/>
      <c r="G132" s="46" t="s"/>
      <c r="H132" s="46" t="s"/>
      <c r="I132" s="46" t="s"/>
      <c r="J132" s="46" t="s"/>
      <c r="K132" s="46" t="s"/>
      <c r="L132" s="46" t="s"/>
      <c r="M132" s="46" t="s"/>
      <c r="N132" s="46" t="s"/>
      <c r="O132" s="46" t="s"/>
      <c r="P132" s="46" t="s"/>
      <c r="Q132" s="46" t="s"/>
      <c r="R132" s="52" t="s"/>
    </row>
    <row r="133" spans="1:18" ht="22.5" customHeight="true">
      <c r="A133" s="38" t="s"/>
      <c r="B133" s="45" t="s">
        <v>32</v>
      </c>
      <c r="C133" s="46" t="s">
        <v>177</v>
      </c>
      <c r="D133" s="41" t="s"/>
      <c r="E133" s="48">
        <f>=F133+G133+H133+I133+J133+K133+L133+M133+N133+O133+P133+Q133</f>
        <v>0</v>
      </c>
      <c r="F133" s="40" t="s"/>
      <c r="G133" s="40" t="s"/>
      <c r="H133" s="40" t="s"/>
      <c r="I133" s="40" t="s"/>
      <c r="J133" s="40" t="s"/>
      <c r="K133" s="40" t="s"/>
      <c r="L133" s="40" t="s"/>
      <c r="M133" s="40" t="s"/>
      <c r="N133" s="40" t="s"/>
      <c r="O133" s="40" t="s"/>
      <c r="P133" s="40" t="s"/>
      <c r="Q133" s="40" t="s"/>
      <c r="R133" s="52" t="s"/>
    </row>
    <row r="134" spans="1:18" ht="22.5" customHeight="true">
      <c r="A134" s="38" t="s"/>
      <c r="B134" s="49" t="s">
        <v>25</v>
      </c>
      <c r="C134" s="46" t="s">
        <v>178</v>
      </c>
      <c r="D134" s="41" t="s"/>
      <c r="E134" s="42">
        <f>=F134+G134+H134+I134+J134+K134+L134+M134+N134+O134+P134+Q134</f>
        <v>0</v>
      </c>
      <c r="F134" s="40" t="s"/>
      <c r="G134" s="40" t="s"/>
      <c r="H134" s="40" t="s"/>
      <c r="I134" s="40" t="s"/>
      <c r="J134" s="40" t="s"/>
      <c r="K134" s="40" t="s"/>
      <c r="L134" s="40" t="s"/>
      <c r="M134" s="40" t="s"/>
      <c r="N134" s="40" t="s"/>
      <c r="O134" s="40" t="s"/>
      <c r="P134" s="40" t="s"/>
      <c r="Q134" s="40" t="s"/>
      <c r="R134" s="52" t="s"/>
    </row>
    <row r="135" spans="1:18" ht="22.5" customHeight="true">
      <c r="A135" s="38" t="s"/>
      <c r="B135" s="45" t="s">
        <v>67</v>
      </c>
      <c r="C135" s="46" t="s">
        <v>179</v>
      </c>
      <c r="D135" s="41" t="s"/>
      <c r="E135" s="42">
        <f>=F135+G135+H135+I135+J135+K135+L135+M135+N135+O135+P135+Q135</f>
        <v>0</v>
      </c>
      <c r="F135" s="40" t="s"/>
      <c r="G135" s="40" t="s"/>
      <c r="H135" s="40" t="s"/>
      <c r="I135" s="40" t="s"/>
      <c r="J135" s="40" t="s"/>
      <c r="K135" s="40" t="s"/>
      <c r="L135" s="40" t="s"/>
      <c r="M135" s="40" t="s"/>
      <c r="N135" s="40" t="s"/>
      <c r="O135" s="40" t="s"/>
      <c r="P135" s="40" t="s"/>
      <c r="Q135" s="40" t="s"/>
      <c r="R135" s="43" t="s"/>
    </row>
    <row r="136" spans="1:18" ht="22.5" customHeight="true">
      <c r="A136" s="38" t="s"/>
      <c r="B136" s="45" t="s">
        <v>37</v>
      </c>
      <c r="C136" s="46" t="s">
        <v>180</v>
      </c>
      <c r="D136" s="41" t="s"/>
      <c r="E136" s="42">
        <f>=F136+G136+H136+I136+J136+K136+L136+M136+N136+O136+P136+Q136</f>
        <v>0</v>
      </c>
      <c r="F136" s="40" t="s"/>
      <c r="G136" s="40" t="s"/>
      <c r="H136" s="40" t="s"/>
      <c r="I136" s="40" t="s"/>
      <c r="J136" s="40" t="s"/>
      <c r="K136" s="40" t="s"/>
      <c r="L136" s="40" t="s"/>
      <c r="M136" s="40" t="s"/>
      <c r="N136" s="40" t="s"/>
      <c r="O136" s="40" t="s"/>
      <c r="P136" s="40" t="s"/>
      <c r="Q136" s="40" t="s"/>
      <c r="R136" s="52" t="s"/>
    </row>
    <row r="137" spans="1:18" ht="22.5" customHeight="true">
      <c r="A137" s="38" t="s"/>
      <c r="B137" s="49" t="s">
        <v>25</v>
      </c>
      <c r="C137" s="46" t="s">
        <v>181</v>
      </c>
      <c r="D137" s="41" t="s"/>
      <c r="E137" s="48">
        <f>=F137+G137+H137+I137+J137+K137+L137+M137+N137+O137+P137+Q137</f>
        <v>0</v>
      </c>
      <c r="F137" s="40" t="s"/>
      <c r="G137" s="40" t="s"/>
      <c r="H137" s="40" t="s"/>
      <c r="I137" s="40" t="s"/>
      <c r="J137" s="40" t="s"/>
      <c r="K137" s="40" t="s"/>
      <c r="L137" s="40" t="s"/>
      <c r="M137" s="40" t="s"/>
      <c r="N137" s="40" t="s"/>
      <c r="O137" s="40" t="s"/>
      <c r="P137" s="40" t="s"/>
      <c r="Q137" s="40" t="s"/>
      <c r="R137" s="52" t="s"/>
    </row>
    <row r="138" spans="1:18" ht="22.5" customHeight="true">
      <c r="A138" s="44" t="s"/>
      <c r="B138" s="49" t="s">
        <v>35</v>
      </c>
      <c r="C138" s="46" t="s">
        <v>182</v>
      </c>
      <c r="D138" s="47" t="s"/>
      <c r="E138" s="42">
        <f>=F138+G138+H138+I138+J138+K138+L138+M138+N138+O138+P138+Q138</f>
        <v>0</v>
      </c>
      <c r="F138" s="46" t="s"/>
      <c r="G138" s="46" t="s"/>
      <c r="H138" s="46" t="s"/>
      <c r="I138" s="46" t="s"/>
      <c r="J138" s="46" t="s"/>
      <c r="K138" s="46" t="s"/>
      <c r="L138" s="46" t="s"/>
      <c r="M138" s="46" t="s"/>
      <c r="N138" s="46" t="s"/>
      <c r="O138" s="46" t="s"/>
      <c r="P138" s="46" t="s"/>
      <c r="Q138" s="46" t="s"/>
      <c r="R138" s="43" t="s"/>
    </row>
    <row r="139" spans="1:18" ht="22.5" customHeight="true">
      <c r="A139" s="38" t="s"/>
      <c r="B139" s="45" t="s">
        <v>25</v>
      </c>
      <c r="C139" s="40" t="s">
        <v>183</v>
      </c>
      <c r="D139" s="41" t="s"/>
      <c r="E139" s="42">
        <f>=F139+G139+H139+I139+J139+K139+L139+M139+N139+O139+P139+Q139</f>
        <v>0</v>
      </c>
      <c r="F139" s="40" t="s"/>
      <c r="G139" s="40" t="s"/>
      <c r="H139" s="40" t="s"/>
      <c r="I139" s="40" t="s"/>
      <c r="J139" s="40" t="s"/>
      <c r="K139" s="40" t="s"/>
      <c r="L139" s="40" t="s"/>
      <c r="M139" s="40" t="s"/>
      <c r="N139" s="40" t="s"/>
      <c r="O139" s="40" t="s"/>
      <c r="P139" s="40" t="s"/>
      <c r="Q139" s="40" t="s"/>
      <c r="R139" s="43" t="s"/>
    </row>
    <row r="140" spans="1:18" ht="22.5" customHeight="true">
      <c r="A140" s="38" t="s"/>
      <c r="B140" s="45" t="s">
        <v>37</v>
      </c>
      <c r="C140" s="46" t="s">
        <v>184</v>
      </c>
      <c r="D140" s="47" t="s"/>
      <c r="E140" s="48">
        <f>=F140+G140+H140+I140+J140+K140+L140+M140+N140+O140+P140+Q140</f>
        <v>0</v>
      </c>
      <c r="F140" s="46" t="s"/>
      <c r="G140" s="46" t="s"/>
      <c r="H140" s="46" t="s"/>
      <c r="I140" s="46" t="s"/>
      <c r="J140" s="46" t="s"/>
      <c r="K140" s="46" t="s"/>
      <c r="L140" s="46" t="s"/>
      <c r="M140" s="46" t="s"/>
      <c r="N140" s="46" t="s"/>
      <c r="O140" s="46" t="s"/>
      <c r="P140" s="46" t="s"/>
      <c r="Q140" s="46" t="s"/>
      <c r="R140" s="52" t="s"/>
    </row>
    <row r="141" spans="1:18" ht="22.5" customHeight="true">
      <c r="A141" s="44" t="s"/>
      <c r="B141" s="45" t="s">
        <v>67</v>
      </c>
      <c r="C141" s="46" t="s">
        <v>185</v>
      </c>
      <c r="D141" s="47" t="s"/>
      <c r="E141" s="62">
        <f>=F141+G141+H141+I141+J141+K141+L141+M141+N141+O141+P141+Q141</f>
        <v>0</v>
      </c>
      <c r="F141" s="46" t="s"/>
      <c r="G141" s="46" t="s"/>
      <c r="H141" s="46" t="s"/>
      <c r="I141" s="46" t="s"/>
      <c r="J141" s="46" t="s"/>
      <c r="K141" s="46" t="s"/>
      <c r="L141" s="46" t="s"/>
      <c r="M141" s="46" t="s"/>
      <c r="N141" s="46" t="s"/>
      <c r="O141" s="46" t="s"/>
      <c r="P141" s="46" t="s"/>
      <c r="Q141" s="46" t="s"/>
      <c r="R141" s="43" t="s"/>
    </row>
    <row r="142" spans="1:18" ht="22.5" customHeight="true">
      <c r="A142" s="44" t="s"/>
      <c r="B142" s="45" t="s">
        <v>35</v>
      </c>
      <c r="C142" s="40" t="s">
        <v>186</v>
      </c>
      <c r="D142" s="41" t="s"/>
      <c r="E142" s="42">
        <f>=F142+G142+H142+I142+J142+K142+L142+M142+N142+O142+P142+Q142</f>
        <v>0</v>
      </c>
      <c r="F142" s="40" t="s"/>
      <c r="G142" s="40" t="s"/>
      <c r="H142" s="40" t="s"/>
      <c r="I142" s="40" t="s"/>
      <c r="J142" s="40" t="s"/>
      <c r="K142" s="40" t="s"/>
      <c r="L142" s="40" t="s"/>
      <c r="M142" s="40" t="s"/>
      <c r="N142" s="40" t="s"/>
      <c r="O142" s="40" t="s"/>
      <c r="P142" s="40" t="s"/>
      <c r="Q142" s="40" t="s"/>
      <c r="R142" s="43" t="s"/>
    </row>
    <row r="143" spans="1:18" ht="22.5" customHeight="true">
      <c r="A143" s="38" t="s"/>
      <c r="B143" s="45" t="s">
        <v>133</v>
      </c>
      <c r="C143" s="46" t="s">
        <v>187</v>
      </c>
      <c r="D143" s="47" t="s"/>
      <c r="E143" s="48">
        <f>=F143+G143+H143+I143+J143+K143+L143+M143+N143+O143+P143+Q143</f>
        <v>1</v>
      </c>
      <c r="F143" s="46" t="s"/>
      <c r="G143" s="46" t="s"/>
      <c r="H143" s="46" t="s"/>
      <c r="I143" s="46">
        <f>=1</f>
        <v>1</v>
      </c>
      <c r="J143" s="46" t="s"/>
      <c r="K143" s="46" t="s"/>
      <c r="L143" s="46" t="s"/>
      <c r="M143" s="46" t="s"/>
      <c r="N143" s="46" t="s"/>
      <c r="O143" s="46" t="s"/>
      <c r="P143" s="46" t="s"/>
      <c r="Q143" s="46" t="s"/>
      <c r="R143" s="52" t="s"/>
    </row>
    <row r="144" spans="1:18">
      <c r="A144" s="44" t="s"/>
      <c r="B144" s="39" t="s">
        <v>117</v>
      </c>
      <c r="C144" s="40" t="s">
        <v>188</v>
      </c>
      <c r="D144" s="41" t="s"/>
      <c r="E144" s="42">
        <f>=F144+G144+H144+I144+J144+K144+L144+M144+N144+O144+P144+Q144</f>
        <v>0</v>
      </c>
      <c r="F144" s="40" t="s"/>
      <c r="G144" s="40" t="s"/>
      <c r="H144" s="40" t="s"/>
      <c r="I144" s="40" t="s"/>
      <c r="J144" s="40" t="s"/>
      <c r="K144" s="40" t="s"/>
      <c r="L144" s="40" t="s"/>
      <c r="M144" s="40" t="s"/>
      <c r="N144" s="40" t="s"/>
      <c r="O144" s="40" t="s"/>
      <c r="P144" s="40" t="s"/>
      <c r="Q144" s="40" t="s"/>
      <c r="R144" s="72" t="s"/>
    </row>
    <row r="145" spans="1:18">
      <c r="A145" s="59" t="s"/>
      <c r="B145" s="73" t="s"/>
      <c r="C145" s="74" t="s"/>
      <c r="D145" s="74" t="s"/>
      <c r="E145" s="75" t="s"/>
      <c r="F145" s="74" t="s"/>
      <c r="G145" s="74" t="s"/>
      <c r="H145" s="74" t="s"/>
      <c r="I145" s="74" t="s"/>
      <c r="J145" s="74" t="s"/>
      <c r="K145" s="74" t="s"/>
      <c r="L145" s="74" t="s"/>
      <c r="M145" s="74" t="s"/>
      <c r="N145" s="74" t="s"/>
      <c r="O145" s="74" t="s"/>
      <c r="P145" s="74" t="s"/>
      <c r="Q145" s="74" t="s"/>
      <c r="R145" s="72" t="s"/>
    </row>
    <row r="146" spans="1:18">
      <c r="A146" s="59" t="s"/>
      <c r="B146" s="73" t="s"/>
      <c r="C146" s="74" t="s"/>
      <c r="D146" s="74" t="s"/>
      <c r="E146" s="75" t="s"/>
      <c r="F146" s="74" t="s"/>
      <c r="G146" s="74" t="s"/>
      <c r="H146" s="74" t="s"/>
      <c r="I146" s="74" t="s"/>
      <c r="J146" s="74" t="s"/>
      <c r="K146" s="74" t="s"/>
      <c r="L146" s="74" t="s"/>
      <c r="M146" s="74" t="s"/>
      <c r="N146" s="74" t="s"/>
      <c r="O146" s="74" t="s"/>
      <c r="P146" s="74" t="s"/>
      <c r="Q146" s="74" t="s"/>
      <c r="R146" s="72" t="s"/>
    </row>
    <row r="147" spans="1:18">
      <c r="A147" s="59" t="s"/>
      <c r="B147" s="73" t="s"/>
      <c r="C147" s="74" t="s"/>
      <c r="D147" s="74" t="s"/>
      <c r="E147" s="75" t="s"/>
      <c r="F147" s="74" t="s"/>
      <c r="G147" s="74" t="s"/>
      <c r="H147" s="74" t="s"/>
      <c r="I147" s="74" t="s"/>
      <c r="J147" s="74" t="s"/>
      <c r="K147" s="74" t="s"/>
      <c r="L147" s="74" t="s"/>
      <c r="M147" s="74" t="s"/>
      <c r="N147" s="74" t="s"/>
      <c r="O147" s="74" t="s"/>
      <c r="P147" s="74" t="s"/>
      <c r="Q147" s="74" t="s"/>
      <c r="R147" s="72" t="s"/>
    </row>
  </sheetData>
  <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 codeName="2附 员工积分记录2026">
    <tabColor rgb="FFFFFFFF"/>
  </sheetPr>
  <dimension ref="I88"/>
  <sheetViews>
    <sheetView showGridLines="false" rightToLeft="false" workbookViewId="0">
      <pane ySplit="2" topLeftCell="A3" state="frozen"/>
    </sheetView>
  </sheetViews>
  <cols>
    <col min="2" max="2" width="13.6719" style="131" customWidth="false"/>
    <col min="3" max="3" width="18.4844" customWidth="true"/>
    <col min="5" max="5" width="11.332" customWidth="true"/>
    <col min="6" max="6" width="12.4023" style="121" customWidth="true"/>
    <col min="7" max="7" width="27.7031" style="127" customWidth="true"/>
  </cols>
  <sheetData>
    <row r="1" spans="1:9" ht="60" customHeight="true">
      <c r="A1" s="5" t="s"/>
      <c r="B1" s="76" t="s"/>
      <c r="C1" s="6" t="s">
        <v>189</v>
      </c>
      <c r="D1" s="7" t="s"/>
      <c r="E1" s="7" t="s"/>
      <c r="F1" s="7" t="s"/>
      <c r="G1" s="8" t="s"/>
      <c r="H1" s="9" t="s"/>
      <c r="I1" s="77" t="s"/>
    </row>
    <row r="2" spans="1:9" customHeight="false">
      <c r="A2" s="78" t="s"/>
      <c r="B2" s="79" t="s">
        <v>2</v>
      </c>
      <c r="C2" s="80" t="s">
        <v>3</v>
      </c>
      <c r="D2" s="80" t="s">
        <v>41</v>
      </c>
      <c r="E2" s="80" t="s">
        <v>4</v>
      </c>
      <c r="F2" s="81" t="s">
        <v>5</v>
      </c>
      <c r="G2" s="82" t="s">
        <v>6</v>
      </c>
      <c r="H2" s="80" t="s">
        <v>7</v>
      </c>
      <c r="I2" s="77" t="s"/>
    </row>
    <row r="3" spans="2:8" ht="21.75" customHeight="true">
      <c r="B3" s="83">
        <v>46113</v>
      </c>
      <c r="C3" s="84" t="s">
        <v>190</v>
      </c>
      <c r="D3" s="84" t="s">
        <v>191</v>
      </c>
      <c r="E3" s="84">
        <v>1</v>
      </c>
      <c r="F3" s="84" t="s">
        <v>192</v>
      </c>
      <c r="G3" s="85" t="s">
        <v>235</v>
      </c>
      <c r="H3" s="84" t="s">
        <v>11</v>
      </c>
    </row>
    <row r="4" spans="2:8" ht="21.75" customHeight="true">
      <c r="B4" s="83">
        <v>46112</v>
      </c>
      <c r="C4" s="84" t="s">
        <v>12</v>
      </c>
      <c r="D4" s="84" t="s">
        <v>193</v>
      </c>
      <c r="E4" s="84">
        <v>2.5</v>
      </c>
      <c r="F4" s="84" t="s">
        <v>194</v>
      </c>
      <c r="G4" s="85" t="s">
        <v>195</v>
      </c>
      <c r="H4" s="84" t="s">
        <v>11</v>
      </c>
    </row>
    <row r="5" spans="2:8" ht="21.75" customHeight="true">
      <c r="B5" s="83">
        <v>46112</v>
      </c>
      <c r="C5" s="84" t="s">
        <v>12</v>
      </c>
      <c r="D5" s="84" t="s">
        <v>52</v>
      </c>
      <c r="E5" s="84">
        <v>2.5</v>
      </c>
      <c r="F5" s="84" t="s">
        <v>194</v>
      </c>
      <c r="G5" s="85" t="s">
        <v>195</v>
      </c>
      <c r="H5" s="84" t="s">
        <v>11</v>
      </c>
    </row>
    <row r="6" spans="2:8" ht="21.75" customHeight="true">
      <c r="B6" s="83">
        <v>46112</v>
      </c>
      <c r="C6" s="84" t="s">
        <v>104</v>
      </c>
      <c r="D6" s="84" t="s">
        <v>57</v>
      </c>
      <c r="E6" s="84">
        <v>5</v>
      </c>
      <c r="F6" s="84" t="s">
        <v>194</v>
      </c>
      <c r="G6" s="85" t="s">
        <v>196</v>
      </c>
      <c r="H6" s="84" t="s">
        <v>11</v>
      </c>
    </row>
    <row r="7" spans="2:8" ht="21.75" customHeight="true">
      <c r="B7" s="83">
        <v>46112</v>
      </c>
      <c r="C7" s="84" t="s">
        <v>8</v>
      </c>
      <c r="D7" s="84" t="s">
        <v>49</v>
      </c>
      <c r="E7" s="84">
        <v>5</v>
      </c>
      <c r="F7" s="84" t="s">
        <v>194</v>
      </c>
      <c r="G7" s="85" t="s">
        <v>197</v>
      </c>
      <c r="H7" s="84" t="s">
        <v>11</v>
      </c>
    </row>
    <row r="8" spans="2:8" ht="21.75" customHeight="true">
      <c r="B8" s="83">
        <v>46112</v>
      </c>
      <c r="C8" s="84" t="s">
        <v>8</v>
      </c>
      <c r="D8" s="84" t="s">
        <v>198</v>
      </c>
      <c r="E8" s="84">
        <v>5</v>
      </c>
      <c r="F8" s="84" t="s">
        <v>194</v>
      </c>
      <c r="G8" s="85" t="s">
        <v>197</v>
      </c>
      <c r="H8" s="84" t="s">
        <v>11</v>
      </c>
    </row>
    <row r="9" spans="2:8" ht="21.75" customHeight="true">
      <c r="B9" s="83">
        <v>46111</v>
      </c>
      <c r="C9" s="84" t="s">
        <v>25</v>
      </c>
      <c r="D9" s="21" t="s">
        <v>85</v>
      </c>
      <c r="E9" s="21">
        <v>2</v>
      </c>
      <c r="F9" s="21" t="s">
        <v>199</v>
      </c>
      <c r="G9" s="86" t="s">
        <v>200</v>
      </c>
      <c r="H9" s="84" t="s">
        <v>20</v>
      </c>
    </row>
    <row r="10" spans="2:8" ht="21.75" customHeight="true">
      <c r="B10" s="83">
        <v>46111</v>
      </c>
      <c r="C10" s="84" t="s">
        <v>25</v>
      </c>
      <c r="D10" s="21" t="s">
        <v>61</v>
      </c>
      <c r="E10" s="21">
        <v>2</v>
      </c>
      <c r="F10" s="21" t="s">
        <v>199</v>
      </c>
      <c r="G10" s="86" t="s">
        <v>200</v>
      </c>
      <c r="H10" s="84" t="s">
        <v>20</v>
      </c>
    </row>
    <row r="11" spans="2:8" ht="21.75" customHeight="true">
      <c r="B11" s="83">
        <v>46111</v>
      </c>
      <c r="C11" s="21" t="s">
        <v>35</v>
      </c>
      <c r="D11" s="21" t="s">
        <v>95</v>
      </c>
      <c r="E11" s="21">
        <v>1</v>
      </c>
      <c r="F11" s="21" t="s">
        <v>199</v>
      </c>
      <c r="G11" s="86" t="s">
        <v>201</v>
      </c>
      <c r="H11" s="84" t="s">
        <v>20</v>
      </c>
    </row>
    <row r="12" spans="2:8" ht="21.75" customHeight="true">
      <c r="B12" s="83">
        <v>46111</v>
      </c>
      <c r="C12" s="84" t="s">
        <v>30</v>
      </c>
      <c r="D12" s="21" t="s">
        <v>63</v>
      </c>
      <c r="E12" s="21">
        <v>1</v>
      </c>
      <c r="F12" s="21" t="s">
        <v>199</v>
      </c>
      <c r="G12" s="86" t="s">
        <v>201</v>
      </c>
      <c r="H12" s="84" t="s">
        <v>20</v>
      </c>
    </row>
    <row r="13" spans="2:8" ht="21.75" customHeight="true">
      <c r="B13" s="83">
        <v>46111</v>
      </c>
      <c r="C13" s="84" t="s">
        <v>25</v>
      </c>
      <c r="D13" s="21" t="s">
        <v>59</v>
      </c>
      <c r="E13" s="21">
        <v>1</v>
      </c>
      <c r="F13" s="21" t="s">
        <v>199</v>
      </c>
      <c r="G13" s="86" t="s">
        <v>201</v>
      </c>
      <c r="H13" s="84" t="s">
        <v>20</v>
      </c>
    </row>
    <row r="14" spans="2:8" ht="21.75" customHeight="true">
      <c r="B14" s="83">
        <v>46111</v>
      </c>
      <c r="C14" s="84" t="s">
        <v>8</v>
      </c>
      <c r="D14" s="21" t="s">
        <v>46</v>
      </c>
      <c r="E14" s="21">
        <v>1</v>
      </c>
      <c r="F14" s="21" t="s">
        <v>199</v>
      </c>
      <c r="G14" s="86" t="s">
        <v>201</v>
      </c>
      <c r="H14" s="84" t="s">
        <v>20</v>
      </c>
    </row>
    <row r="15" spans="2:8" ht="21.75" customHeight="true">
      <c r="B15" s="83">
        <v>46111</v>
      </c>
      <c r="C15" s="84" t="s">
        <v>25</v>
      </c>
      <c r="D15" s="21" t="s">
        <v>62</v>
      </c>
      <c r="E15" s="21">
        <v>1</v>
      </c>
      <c r="F15" s="21" t="s">
        <v>199</v>
      </c>
      <c r="G15" s="86" t="s">
        <v>201</v>
      </c>
      <c r="H15" s="84" t="s">
        <v>20</v>
      </c>
    </row>
    <row r="16" spans="2:8" ht="21.75" customHeight="true">
      <c r="B16" s="83">
        <v>46111</v>
      </c>
      <c r="C16" s="84" t="s">
        <v>37</v>
      </c>
      <c r="D16" s="84" t="s">
        <v>93</v>
      </c>
      <c r="E16" s="84">
        <v>2</v>
      </c>
      <c r="F16" s="84" t="s">
        <v>202</v>
      </c>
      <c r="G16" s="87" t="s">
        <v>203</v>
      </c>
      <c r="H16" s="84" t="s">
        <v>20</v>
      </c>
    </row>
    <row r="17" spans="2:8" ht="21.75" customHeight="true">
      <c r="B17" s="83">
        <v>46111</v>
      </c>
      <c r="C17" s="84" t="s">
        <v>25</v>
      </c>
      <c r="D17" s="84" t="s">
        <v>94</v>
      </c>
      <c r="E17" s="84">
        <v>2</v>
      </c>
      <c r="F17" s="84" t="s">
        <v>202</v>
      </c>
      <c r="G17" s="87" t="s">
        <v>203</v>
      </c>
      <c r="H17" s="84" t="s">
        <v>20</v>
      </c>
    </row>
    <row r="18" spans="2:8" ht="21.75" customHeight="true">
      <c r="B18" s="83">
        <v>46111</v>
      </c>
      <c r="C18" s="84" t="s">
        <v>8</v>
      </c>
      <c r="D18" s="84" t="s">
        <v>97</v>
      </c>
      <c r="E18" s="84">
        <v>1</v>
      </c>
      <c r="F18" s="84" t="s">
        <v>202</v>
      </c>
      <c r="G18" s="87" t="s">
        <v>204</v>
      </c>
      <c r="H18" s="84" t="s">
        <v>20</v>
      </c>
    </row>
    <row r="19" spans="2:8" ht="21.75" customHeight="true">
      <c r="B19" s="83">
        <v>46111</v>
      </c>
      <c r="C19" s="84" t="s">
        <v>24</v>
      </c>
      <c r="D19" s="84" t="s">
        <v>47</v>
      </c>
      <c r="E19" s="84">
        <v>5</v>
      </c>
      <c r="F19" s="84" t="s">
        <v>202</v>
      </c>
      <c r="G19" s="87" t="s">
        <v>205</v>
      </c>
      <c r="H19" s="84" t="s">
        <v>20</v>
      </c>
    </row>
    <row r="20" spans="2:8" ht="21.75" customHeight="true">
      <c r="B20" s="83">
        <v>46111</v>
      </c>
      <c r="C20" s="88" t="s">
        <v>8</v>
      </c>
      <c r="D20" s="21" t="s">
        <v>46</v>
      </c>
      <c r="E20" s="89">
        <v>8</v>
      </c>
      <c r="F20" s="84" t="s">
        <v>202</v>
      </c>
      <c r="G20" s="87" t="s">
        <v>206</v>
      </c>
      <c r="H20" s="84" t="s">
        <v>20</v>
      </c>
    </row>
    <row r="21" spans="2:8" ht="21.75" customHeight="true">
      <c r="B21" s="83">
        <v>46111</v>
      </c>
      <c r="C21" s="88" t="s">
        <v>8</v>
      </c>
      <c r="D21" s="21" t="s">
        <v>45</v>
      </c>
      <c r="E21" s="89">
        <v>3</v>
      </c>
      <c r="F21" s="84" t="s">
        <v>202</v>
      </c>
      <c r="G21" s="87" t="s">
        <v>207</v>
      </c>
      <c r="H21" s="84" t="s">
        <v>20</v>
      </c>
    </row>
    <row r="22" spans="2:8" ht="21.75" customHeight="true">
      <c r="B22" s="83">
        <v>46111</v>
      </c>
      <c r="C22" s="88" t="s">
        <v>33</v>
      </c>
      <c r="D22" s="21" t="s">
        <v>65</v>
      </c>
      <c r="E22" s="89">
        <v>3</v>
      </c>
      <c r="F22" s="84" t="s">
        <v>202</v>
      </c>
      <c r="G22" s="87" t="s">
        <v>207</v>
      </c>
      <c r="H22" s="84" t="s">
        <v>20</v>
      </c>
    </row>
    <row r="23" spans="2:8" ht="21.75" customHeight="true">
      <c r="B23" s="83">
        <v>46111</v>
      </c>
      <c r="C23" s="88" t="s">
        <v>33</v>
      </c>
      <c r="D23" s="21" t="s">
        <v>68</v>
      </c>
      <c r="E23" s="89">
        <v>3</v>
      </c>
      <c r="F23" s="84" t="s">
        <v>202</v>
      </c>
      <c r="G23" s="87" t="s">
        <v>207</v>
      </c>
      <c r="H23" s="84" t="s">
        <v>20</v>
      </c>
    </row>
    <row r="24" spans="2:8" ht="21.75" customHeight="true">
      <c r="B24" s="83">
        <v>46111</v>
      </c>
      <c r="C24" s="88" t="s">
        <v>33</v>
      </c>
      <c r="D24" s="21" t="s">
        <v>66</v>
      </c>
      <c r="E24" s="89">
        <v>3</v>
      </c>
      <c r="F24" s="84" t="s">
        <v>202</v>
      </c>
      <c r="G24" s="87" t="s">
        <v>207</v>
      </c>
      <c r="H24" s="84" t="s">
        <v>20</v>
      </c>
    </row>
    <row r="25" spans="2:8" ht="21.75" customHeight="true">
      <c r="B25" s="83">
        <v>46111</v>
      </c>
      <c r="C25" s="88" t="s">
        <v>25</v>
      </c>
      <c r="D25" s="21" t="s">
        <v>50</v>
      </c>
      <c r="E25" s="89">
        <v>3</v>
      </c>
      <c r="F25" s="84" t="s">
        <v>202</v>
      </c>
      <c r="G25" s="87" t="s">
        <v>207</v>
      </c>
      <c r="H25" s="84" t="s">
        <v>20</v>
      </c>
    </row>
    <row r="26" spans="2:8" ht="21.75" customHeight="true">
      <c r="B26" s="83">
        <v>46111</v>
      </c>
      <c r="C26" s="88" t="s">
        <v>30</v>
      </c>
      <c r="D26" s="21" t="s">
        <v>56</v>
      </c>
      <c r="E26" s="89">
        <v>4</v>
      </c>
      <c r="F26" s="84" t="s">
        <v>202</v>
      </c>
      <c r="G26" s="87" t="s">
        <v>207</v>
      </c>
      <c r="H26" s="84" t="s">
        <v>20</v>
      </c>
    </row>
    <row r="27" spans="2:8" ht="21.75" customHeight="true">
      <c r="B27" s="83">
        <v>46111</v>
      </c>
      <c r="C27" s="88" t="s">
        <v>8</v>
      </c>
      <c r="D27" s="21" t="s">
        <v>46</v>
      </c>
      <c r="E27" s="90">
        <v>2</v>
      </c>
      <c r="F27" s="21" t="s">
        <v>202</v>
      </c>
      <c r="G27" s="86" t="s">
        <v>208</v>
      </c>
      <c r="H27" s="21" t="s">
        <v>20</v>
      </c>
    </row>
    <row r="28" spans="2:8" ht="21.75" customHeight="true">
      <c r="B28" s="83">
        <v>46111</v>
      </c>
      <c r="C28" s="88" t="s">
        <v>25</v>
      </c>
      <c r="D28" s="21" t="s">
        <v>59</v>
      </c>
      <c r="E28" s="90">
        <v>2</v>
      </c>
      <c r="F28" s="21" t="s">
        <v>202</v>
      </c>
      <c r="G28" s="86" t="s">
        <v>208</v>
      </c>
      <c r="H28" s="21" t="s">
        <v>20</v>
      </c>
    </row>
    <row r="29" spans="2:8" ht="21.75" customHeight="true">
      <c r="B29" s="83">
        <v>46111</v>
      </c>
      <c r="C29" s="88" t="s">
        <v>25</v>
      </c>
      <c r="D29" s="21" t="s">
        <v>61</v>
      </c>
      <c r="E29" s="90">
        <v>2</v>
      </c>
      <c r="F29" s="21" t="s">
        <v>202</v>
      </c>
      <c r="G29" s="86" t="s">
        <v>208</v>
      </c>
      <c r="H29" s="21" t="s">
        <v>20</v>
      </c>
    </row>
    <row r="30" spans="2:8" ht="21.75" customHeight="true">
      <c r="B30" s="83">
        <v>46111</v>
      </c>
      <c r="C30" s="88" t="s">
        <v>25</v>
      </c>
      <c r="D30" s="21" t="s">
        <v>55</v>
      </c>
      <c r="E30" s="90">
        <v>2</v>
      </c>
      <c r="F30" s="21" t="s">
        <v>202</v>
      </c>
      <c r="G30" s="86" t="s">
        <v>208</v>
      </c>
      <c r="H30" s="21" t="s">
        <v>20</v>
      </c>
    </row>
    <row r="31" spans="2:8" ht="21.75" customHeight="true">
      <c r="B31" s="83">
        <v>46111</v>
      </c>
      <c r="C31" s="88" t="s">
        <v>25</v>
      </c>
      <c r="D31" s="21" t="s">
        <v>50</v>
      </c>
      <c r="E31" s="90">
        <v>2</v>
      </c>
      <c r="F31" s="21" t="s">
        <v>202</v>
      </c>
      <c r="G31" s="86" t="s">
        <v>208</v>
      </c>
      <c r="H31" s="21" t="s">
        <v>20</v>
      </c>
    </row>
    <row r="32" spans="2:8" ht="21.75" customHeight="true">
      <c r="B32" s="83">
        <v>46111</v>
      </c>
      <c r="C32" s="84" t="s">
        <v>25</v>
      </c>
      <c r="D32" s="21" t="s">
        <v>62</v>
      </c>
      <c r="E32" s="21">
        <v>2</v>
      </c>
      <c r="F32" s="21" t="s">
        <v>202</v>
      </c>
      <c r="G32" s="86" t="s">
        <v>208</v>
      </c>
      <c r="H32" s="21" t="s">
        <v>20</v>
      </c>
    </row>
    <row r="33" spans="2:8" ht="21.75" customHeight="true">
      <c r="B33" s="83">
        <v>46111</v>
      </c>
      <c r="C33" s="21" t="s">
        <v>32</v>
      </c>
      <c r="D33" s="21" t="s">
        <v>70</v>
      </c>
      <c r="E33" s="21">
        <v>2</v>
      </c>
      <c r="F33" s="21" t="s">
        <v>202</v>
      </c>
      <c r="G33" s="86" t="s">
        <v>208</v>
      </c>
      <c r="H33" s="21" t="s">
        <v>20</v>
      </c>
    </row>
    <row r="34" spans="2:8" ht="21.75" customHeight="true">
      <c r="B34" s="83">
        <v>46111</v>
      </c>
      <c r="C34" s="21" t="s">
        <v>32</v>
      </c>
      <c r="D34" s="21" t="s">
        <v>89</v>
      </c>
      <c r="E34" s="21">
        <v>2</v>
      </c>
      <c r="F34" s="21" t="s">
        <v>202</v>
      </c>
      <c r="G34" s="86" t="s">
        <v>208</v>
      </c>
      <c r="H34" s="21" t="s">
        <v>20</v>
      </c>
    </row>
    <row r="35" spans="2:8" ht="21.75" customHeight="true">
      <c r="B35" s="83">
        <v>46111</v>
      </c>
      <c r="C35" s="21" t="s">
        <v>33</v>
      </c>
      <c r="D35" s="21" t="s">
        <v>75</v>
      </c>
      <c r="E35" s="21">
        <v>2</v>
      </c>
      <c r="F35" s="21" t="s">
        <v>202</v>
      </c>
      <c r="G35" s="86" t="s">
        <v>208</v>
      </c>
      <c r="H35" s="21" t="s">
        <v>20</v>
      </c>
    </row>
    <row r="36" spans="2:8" ht="21.75" customHeight="true">
      <c r="B36" s="83">
        <v>46111</v>
      </c>
      <c r="C36" s="21" t="s">
        <v>14</v>
      </c>
      <c r="D36" s="21" t="s">
        <v>60</v>
      </c>
      <c r="E36" s="21">
        <v>2</v>
      </c>
      <c r="F36" s="21" t="s">
        <v>202</v>
      </c>
      <c r="G36" s="86" t="s">
        <v>208</v>
      </c>
      <c r="H36" s="21" t="s">
        <v>20</v>
      </c>
    </row>
    <row r="37" spans="2:8" ht="21.75" customHeight="true">
      <c r="B37" s="83">
        <v>46111</v>
      </c>
      <c r="C37" s="21" t="s">
        <v>30</v>
      </c>
      <c r="D37" s="21" t="s">
        <v>81</v>
      </c>
      <c r="E37" s="21">
        <v>2</v>
      </c>
      <c r="F37" s="21" t="s">
        <v>202</v>
      </c>
      <c r="G37" s="86" t="s">
        <v>208</v>
      </c>
      <c r="H37" s="21" t="s">
        <v>20</v>
      </c>
    </row>
    <row r="38" spans="2:8" ht="21.75" customHeight="true">
      <c r="B38" s="83">
        <v>46111</v>
      </c>
      <c r="C38" s="21" t="s">
        <v>30</v>
      </c>
      <c r="D38" s="21" t="s">
        <v>72</v>
      </c>
      <c r="E38" s="21">
        <v>2</v>
      </c>
      <c r="F38" s="21" t="s">
        <v>202</v>
      </c>
      <c r="G38" s="86" t="s">
        <v>208</v>
      </c>
      <c r="H38" s="21" t="s">
        <v>20</v>
      </c>
    </row>
    <row r="39" spans="2:8" ht="21.75" customHeight="true">
      <c r="B39" s="83">
        <v>46111</v>
      </c>
      <c r="C39" s="21" t="s">
        <v>30</v>
      </c>
      <c r="D39" s="21" t="s">
        <v>71</v>
      </c>
      <c r="E39" s="21">
        <v>2</v>
      </c>
      <c r="F39" s="21" t="s">
        <v>202</v>
      </c>
      <c r="G39" s="86" t="s">
        <v>208</v>
      </c>
      <c r="H39" s="21" t="s">
        <v>20</v>
      </c>
    </row>
    <row r="40" spans="2:8" ht="21.75" customHeight="true">
      <c r="B40" s="83">
        <v>46111</v>
      </c>
      <c r="C40" s="21" t="s">
        <v>30</v>
      </c>
      <c r="D40" s="21" t="s">
        <v>91</v>
      </c>
      <c r="E40" s="21">
        <v>2</v>
      </c>
      <c r="F40" s="21" t="s">
        <v>202</v>
      </c>
      <c r="G40" s="86" t="s">
        <v>208</v>
      </c>
      <c r="H40" s="21" t="s">
        <v>20</v>
      </c>
    </row>
    <row r="41" spans="2:8" ht="21.75" customHeight="true">
      <c r="B41" s="83">
        <v>46111</v>
      </c>
      <c r="C41" s="21" t="s">
        <v>35</v>
      </c>
      <c r="D41" s="21" t="s">
        <v>76</v>
      </c>
      <c r="E41" s="21">
        <v>2</v>
      </c>
      <c r="F41" s="21" t="s">
        <v>202</v>
      </c>
      <c r="G41" s="86" t="s">
        <v>208</v>
      </c>
      <c r="H41" s="21" t="s">
        <v>20</v>
      </c>
    </row>
    <row r="42" spans="2:8" ht="21.75" customHeight="true">
      <c r="B42" s="83">
        <v>46111</v>
      </c>
      <c r="C42" s="21" t="s">
        <v>30</v>
      </c>
      <c r="D42" s="21" t="s">
        <v>87</v>
      </c>
      <c r="E42" s="21">
        <v>2</v>
      </c>
      <c r="F42" s="21" t="s">
        <v>202</v>
      </c>
      <c r="G42" s="86" t="s">
        <v>208</v>
      </c>
      <c r="H42" s="21" t="s">
        <v>20</v>
      </c>
    </row>
    <row r="43" spans="2:8" ht="21.75" customHeight="true">
      <c r="B43" s="83">
        <v>46111</v>
      </c>
      <c r="C43" s="21" t="s">
        <v>30</v>
      </c>
      <c r="D43" s="21" t="s">
        <v>79</v>
      </c>
      <c r="E43" s="21">
        <v>2</v>
      </c>
      <c r="F43" s="21" t="s">
        <v>202</v>
      </c>
      <c r="G43" s="86" t="s">
        <v>208</v>
      </c>
      <c r="H43" s="21" t="s">
        <v>20</v>
      </c>
    </row>
    <row r="44" spans="2:8" ht="21.75" customHeight="true">
      <c r="B44" s="83">
        <v>46111</v>
      </c>
      <c r="C44" s="21" t="s">
        <v>30</v>
      </c>
      <c r="D44" s="21" t="s">
        <v>82</v>
      </c>
      <c r="E44" s="21">
        <v>2</v>
      </c>
      <c r="F44" s="21" t="s">
        <v>202</v>
      </c>
      <c r="G44" s="86" t="s">
        <v>208</v>
      </c>
      <c r="H44" s="21" t="s">
        <v>20</v>
      </c>
    </row>
    <row r="45" spans="2:8" ht="21.75" customHeight="true">
      <c r="B45" s="83">
        <v>46111</v>
      </c>
      <c r="C45" s="21" t="s">
        <v>30</v>
      </c>
      <c r="D45" s="21" t="s">
        <v>73</v>
      </c>
      <c r="E45" s="21">
        <v>2</v>
      </c>
      <c r="F45" s="21" t="s">
        <v>202</v>
      </c>
      <c r="G45" s="86" t="s">
        <v>208</v>
      </c>
      <c r="H45" s="21" t="s">
        <v>20</v>
      </c>
    </row>
    <row r="46" spans="2:8" ht="21.75" customHeight="true">
      <c r="B46" s="83">
        <v>46111</v>
      </c>
      <c r="C46" s="21" t="s">
        <v>33</v>
      </c>
      <c r="D46" s="21" t="s">
        <v>83</v>
      </c>
      <c r="E46" s="21">
        <v>2</v>
      </c>
      <c r="F46" s="21" t="s">
        <v>202</v>
      </c>
      <c r="G46" s="86" t="s">
        <v>208</v>
      </c>
      <c r="H46" s="21" t="s">
        <v>20</v>
      </c>
    </row>
    <row r="47" spans="2:8" ht="21.75" customHeight="true">
      <c r="B47" s="83">
        <v>46111</v>
      </c>
      <c r="C47" s="21" t="s">
        <v>30</v>
      </c>
      <c r="D47" s="21" t="s">
        <v>92</v>
      </c>
      <c r="E47" s="21">
        <v>2</v>
      </c>
      <c r="F47" s="21" t="s">
        <v>202</v>
      </c>
      <c r="G47" s="86" t="s">
        <v>208</v>
      </c>
      <c r="H47" s="21" t="s">
        <v>20</v>
      </c>
    </row>
    <row r="48" spans="2:8" ht="21.75" customHeight="true">
      <c r="B48" s="83">
        <v>46111</v>
      </c>
      <c r="C48" s="21" t="s">
        <v>30</v>
      </c>
      <c r="D48" s="21" t="s">
        <v>80</v>
      </c>
      <c r="E48" s="21">
        <v>2</v>
      </c>
      <c r="F48" s="21" t="s">
        <v>202</v>
      </c>
      <c r="G48" s="86" t="s">
        <v>208</v>
      </c>
      <c r="H48" s="21" t="s">
        <v>20</v>
      </c>
    </row>
    <row r="49" spans="2:8" ht="21.75" customHeight="true">
      <c r="B49" s="83">
        <v>46111</v>
      </c>
      <c r="C49" s="21" t="s">
        <v>30</v>
      </c>
      <c r="D49" s="21" t="s">
        <v>90</v>
      </c>
      <c r="E49" s="21">
        <v>2</v>
      </c>
      <c r="F49" s="21" t="s">
        <v>202</v>
      </c>
      <c r="G49" s="86" t="s">
        <v>208</v>
      </c>
      <c r="H49" s="21" t="s">
        <v>20</v>
      </c>
    </row>
    <row r="50" spans="2:8" ht="21.75" customHeight="true">
      <c r="B50" s="83">
        <v>46111</v>
      </c>
      <c r="C50" s="21" t="s">
        <v>30</v>
      </c>
      <c r="D50" s="21" t="s">
        <v>209</v>
      </c>
      <c r="E50" s="21">
        <v>2</v>
      </c>
      <c r="F50" s="21" t="s">
        <v>202</v>
      </c>
      <c r="G50" s="86" t="s">
        <v>208</v>
      </c>
      <c r="H50" s="21" t="s">
        <v>20</v>
      </c>
    </row>
    <row r="51" spans="2:8" ht="21.75" customHeight="true">
      <c r="B51" s="83">
        <v>46111</v>
      </c>
      <c r="C51" s="21" t="s">
        <v>30</v>
      </c>
      <c r="D51" s="21" t="s">
        <v>63</v>
      </c>
      <c r="E51" s="21">
        <v>2</v>
      </c>
      <c r="F51" s="21" t="s">
        <v>202</v>
      </c>
      <c r="G51" s="86" t="s">
        <v>208</v>
      </c>
      <c r="H51" s="21" t="s">
        <v>20</v>
      </c>
    </row>
    <row r="52" spans="2:8" ht="21.75" customHeight="true">
      <c r="B52" s="83">
        <v>46111</v>
      </c>
      <c r="C52" s="21" t="s">
        <v>17</v>
      </c>
      <c r="D52" s="21" t="s">
        <v>84</v>
      </c>
      <c r="E52" s="21">
        <v>2</v>
      </c>
      <c r="F52" s="21" t="s">
        <v>202</v>
      </c>
      <c r="G52" s="86" t="s">
        <v>208</v>
      </c>
      <c r="H52" s="21" t="s">
        <v>20</v>
      </c>
    </row>
    <row r="53" spans="2:8" ht="21.75" customHeight="true">
      <c r="B53" s="83">
        <v>46111</v>
      </c>
      <c r="C53" s="21" t="s">
        <v>30</v>
      </c>
      <c r="D53" s="21" t="s">
        <v>56</v>
      </c>
      <c r="E53" s="21">
        <v>2</v>
      </c>
      <c r="F53" s="21" t="s">
        <v>202</v>
      </c>
      <c r="G53" s="86" t="s">
        <v>208</v>
      </c>
      <c r="H53" s="21" t="s">
        <v>20</v>
      </c>
    </row>
    <row r="54" spans="2:8" ht="21.75" customHeight="true">
      <c r="B54" s="83">
        <v>46111</v>
      </c>
      <c r="C54" s="21" t="s">
        <v>30</v>
      </c>
      <c r="D54" s="21" t="s">
        <v>88</v>
      </c>
      <c r="E54" s="21">
        <v>2</v>
      </c>
      <c r="F54" s="21" t="s">
        <v>202</v>
      </c>
      <c r="G54" s="86" t="s">
        <v>208</v>
      </c>
      <c r="H54" s="21" t="s">
        <v>20</v>
      </c>
    </row>
    <row r="55" spans="2:8" ht="21.75" customHeight="true">
      <c r="B55" s="83">
        <v>46111</v>
      </c>
      <c r="C55" s="21" t="s">
        <v>30</v>
      </c>
      <c r="D55" s="21" t="s">
        <v>78</v>
      </c>
      <c r="E55" s="21">
        <v>2</v>
      </c>
      <c r="F55" s="21" t="s">
        <v>202</v>
      </c>
      <c r="G55" s="86" t="s">
        <v>208</v>
      </c>
      <c r="H55" s="21" t="s">
        <v>20</v>
      </c>
    </row>
    <row r="56" spans="2:8" ht="21.75" customHeight="true">
      <c r="B56" s="83">
        <v>46111</v>
      </c>
      <c r="C56" s="21" t="s">
        <v>30</v>
      </c>
      <c r="D56" s="21" t="s">
        <v>77</v>
      </c>
      <c r="E56" s="21">
        <v>2</v>
      </c>
      <c r="F56" s="21" t="s">
        <v>202</v>
      </c>
      <c r="G56" s="86" t="s">
        <v>208</v>
      </c>
      <c r="H56" s="21" t="s">
        <v>20</v>
      </c>
    </row>
    <row r="57" spans="2:8" ht="21.75" customHeight="true">
      <c r="B57" s="16">
        <v>46111</v>
      </c>
      <c r="C57" s="21" t="s">
        <v>30</v>
      </c>
      <c r="D57" s="21" t="s">
        <v>86</v>
      </c>
      <c r="E57" s="21">
        <v>2</v>
      </c>
      <c r="F57" s="21" t="s">
        <v>202</v>
      </c>
      <c r="G57" s="86" t="s">
        <v>208</v>
      </c>
      <c r="H57" s="21" t="s">
        <v>20</v>
      </c>
    </row>
    <row r="58" spans="2:8" ht="21.75" customHeight="true">
      <c r="B58" s="91">
        <v>46081</v>
      </c>
      <c r="C58" s="84" t="s">
        <v>8</v>
      </c>
      <c r="D58" s="84" t="s">
        <v>198</v>
      </c>
      <c r="E58" s="84">
        <v>5</v>
      </c>
      <c r="F58" s="84" t="s">
        <v>194</v>
      </c>
      <c r="G58" s="85" t="s">
        <v>210</v>
      </c>
      <c r="H58" s="84" t="s">
        <v>11</v>
      </c>
    </row>
    <row r="59" spans="2:8" ht="21.75" customHeight="true">
      <c r="B59" s="91">
        <v>46081</v>
      </c>
      <c r="C59" s="84" t="s">
        <v>8</v>
      </c>
      <c r="D59" s="84" t="s">
        <v>49</v>
      </c>
      <c r="E59" s="84">
        <v>5</v>
      </c>
      <c r="F59" s="84" t="s">
        <v>194</v>
      </c>
      <c r="G59" s="85" t="s">
        <v>210</v>
      </c>
      <c r="H59" s="84" t="s">
        <v>11</v>
      </c>
    </row>
    <row r="60" spans="2:8" ht="21.75" customHeight="true">
      <c r="B60" s="16">
        <v>46062</v>
      </c>
      <c r="C60" s="21" t="s">
        <v>24</v>
      </c>
      <c r="D60" s="21" t="s">
        <v>53</v>
      </c>
      <c r="E60" s="21">
        <v>2</v>
      </c>
      <c r="F60" s="21" t="s">
        <v>211</v>
      </c>
      <c r="G60" s="25" t="s">
        <v>212</v>
      </c>
      <c r="H60" s="21" t="s">
        <v>20</v>
      </c>
    </row>
    <row r="61" spans="2:8" ht="21.75" customHeight="true">
      <c r="B61" s="16">
        <v>46062</v>
      </c>
      <c r="C61" s="21" t="s">
        <v>14</v>
      </c>
      <c r="D61" s="21" t="s">
        <v>60</v>
      </c>
      <c r="E61" s="21">
        <v>2</v>
      </c>
      <c r="F61" s="21" t="s">
        <v>211</v>
      </c>
      <c r="G61" s="25" t="s">
        <v>212</v>
      </c>
      <c r="H61" s="21" t="s">
        <v>20</v>
      </c>
    </row>
    <row r="62" spans="2:8" ht="21.75" customHeight="true">
      <c r="B62" s="16">
        <v>46062</v>
      </c>
      <c r="C62" s="21" t="s">
        <v>8</v>
      </c>
      <c r="D62" s="21" t="s">
        <v>46</v>
      </c>
      <c r="E62" s="21">
        <v>2</v>
      </c>
      <c r="F62" s="21" t="s">
        <v>211</v>
      </c>
      <c r="G62" s="25" t="s">
        <v>212</v>
      </c>
      <c r="H62" s="21" t="s">
        <v>20</v>
      </c>
    </row>
    <row r="63" spans="2:8" ht="21.75" customHeight="true">
      <c r="B63" s="16">
        <v>46062</v>
      </c>
      <c r="C63" s="21" t="s">
        <v>25</v>
      </c>
      <c r="D63" s="21" t="s">
        <v>59</v>
      </c>
      <c r="E63" s="21">
        <v>2</v>
      </c>
      <c r="F63" s="21" t="s">
        <v>211</v>
      </c>
      <c r="G63" s="25" t="s">
        <v>212</v>
      </c>
      <c r="H63" s="21" t="s">
        <v>20</v>
      </c>
    </row>
    <row r="64" spans="2:8" ht="21.75" customHeight="true">
      <c r="B64" s="16">
        <v>46062</v>
      </c>
      <c r="C64" s="21" t="s">
        <v>24</v>
      </c>
      <c r="D64" s="21" t="s">
        <v>47</v>
      </c>
      <c r="E64" s="21">
        <v>2</v>
      </c>
      <c r="F64" s="21" t="s">
        <v>211</v>
      </c>
      <c r="G64" s="25" t="s">
        <v>213</v>
      </c>
      <c r="H64" s="21" t="s">
        <v>20</v>
      </c>
    </row>
    <row r="65" spans="2:8" ht="21.75" customHeight="true">
      <c r="B65" s="16">
        <v>46062</v>
      </c>
      <c r="C65" s="21" t="s">
        <v>24</v>
      </c>
      <c r="D65" s="21" t="s">
        <v>11</v>
      </c>
      <c r="E65" s="21">
        <v>2</v>
      </c>
      <c r="F65" s="21" t="s">
        <v>211</v>
      </c>
      <c r="G65" s="25" t="s">
        <v>214</v>
      </c>
      <c r="H65" s="21" t="s">
        <v>20</v>
      </c>
    </row>
    <row r="66" spans="2:8" ht="21.75" customHeight="true">
      <c r="B66" s="16">
        <v>46062</v>
      </c>
      <c r="C66" s="21" t="s">
        <v>12</v>
      </c>
      <c r="D66" s="21" t="s">
        <v>52</v>
      </c>
      <c r="E66" s="21">
        <v>2</v>
      </c>
      <c r="F66" s="21" t="s">
        <v>211</v>
      </c>
      <c r="G66" s="25" t="s">
        <v>215</v>
      </c>
      <c r="H66" s="21" t="s">
        <v>20</v>
      </c>
    </row>
    <row r="67" spans="2:8" ht="21.75" customHeight="true">
      <c r="B67" s="16">
        <v>46062</v>
      </c>
      <c r="C67" s="21" t="s">
        <v>37</v>
      </c>
      <c r="D67" s="21" t="s">
        <v>54</v>
      </c>
      <c r="E67" s="21">
        <v>2</v>
      </c>
      <c r="F67" s="21" t="s">
        <v>211</v>
      </c>
      <c r="G67" s="25" t="s">
        <v>214</v>
      </c>
      <c r="H67" s="21" t="s">
        <v>20</v>
      </c>
    </row>
    <row r="68" spans="2:8" ht="21.75" customHeight="true">
      <c r="B68" s="16">
        <v>46062</v>
      </c>
      <c r="C68" s="21" t="s">
        <v>24</v>
      </c>
      <c r="D68" s="21" t="s">
        <v>47</v>
      </c>
      <c r="E68" s="21">
        <v>5</v>
      </c>
      <c r="F68" s="21" t="s">
        <v>28</v>
      </c>
      <c r="G68" s="25" t="s">
        <v>216</v>
      </c>
      <c r="H68" s="21" t="s">
        <v>20</v>
      </c>
    </row>
    <row r="69" spans="2:8" ht="21.75" customHeight="true">
      <c r="B69" s="16">
        <v>46062</v>
      </c>
      <c r="C69" s="21" t="s">
        <v>24</v>
      </c>
      <c r="D69" s="21" t="s">
        <v>11</v>
      </c>
      <c r="E69" s="21">
        <v>5</v>
      </c>
      <c r="F69" s="21" t="s">
        <v>28</v>
      </c>
      <c r="G69" s="25" t="s">
        <v>216</v>
      </c>
      <c r="H69" s="21" t="s">
        <v>20</v>
      </c>
    </row>
    <row r="70" spans="2:8" ht="21.75" customHeight="true">
      <c r="B70" s="16">
        <v>46062</v>
      </c>
      <c r="C70" s="21" t="s">
        <v>12</v>
      </c>
      <c r="D70" s="21" t="s">
        <v>52</v>
      </c>
      <c r="E70" s="21">
        <v>5</v>
      </c>
      <c r="F70" s="21" t="s">
        <v>28</v>
      </c>
      <c r="G70" s="25" t="s">
        <v>217</v>
      </c>
      <c r="H70" s="21" t="s">
        <v>20</v>
      </c>
    </row>
    <row r="71" spans="2:8" ht="21.75" customHeight="true">
      <c r="B71" s="16">
        <v>46062</v>
      </c>
      <c r="C71" s="21" t="s">
        <v>37</v>
      </c>
      <c r="D71" s="21" t="s">
        <v>54</v>
      </c>
      <c r="E71" s="21">
        <v>5</v>
      </c>
      <c r="F71" s="21" t="s">
        <v>28</v>
      </c>
      <c r="G71" s="25" t="s">
        <v>218</v>
      </c>
      <c r="H71" s="21" t="s">
        <v>20</v>
      </c>
    </row>
    <row r="72" spans="2:8" ht="21.75" customHeight="true">
      <c r="B72" s="16">
        <v>46062</v>
      </c>
      <c r="C72" s="21" t="s">
        <v>24</v>
      </c>
      <c r="D72" s="21" t="s">
        <v>53</v>
      </c>
      <c r="E72" s="21">
        <v>5</v>
      </c>
      <c r="F72" s="21" t="s">
        <v>28</v>
      </c>
      <c r="G72" s="25" t="s">
        <v>216</v>
      </c>
      <c r="H72" s="21" t="s">
        <v>20</v>
      </c>
    </row>
    <row r="73" spans="2:8" ht="21.75" customHeight="true">
      <c r="B73" s="16">
        <v>46062</v>
      </c>
      <c r="C73" s="21" t="s">
        <v>25</v>
      </c>
      <c r="D73" s="21" t="s">
        <v>50</v>
      </c>
      <c r="E73" s="21">
        <v>5</v>
      </c>
      <c r="F73" s="21" t="s">
        <v>28</v>
      </c>
      <c r="G73" s="25" t="s">
        <v>219</v>
      </c>
      <c r="H73" s="21" t="s">
        <v>20</v>
      </c>
    </row>
    <row r="74" spans="2:8" ht="21.75" customHeight="true">
      <c r="B74" s="16">
        <v>46062</v>
      </c>
      <c r="C74" s="21" t="s">
        <v>25</v>
      </c>
      <c r="D74" s="21" t="s">
        <v>55</v>
      </c>
      <c r="E74" s="21">
        <v>5</v>
      </c>
      <c r="F74" s="21" t="s">
        <v>28</v>
      </c>
      <c r="G74" s="25" t="s">
        <v>219</v>
      </c>
      <c r="H74" s="21" t="s">
        <v>20</v>
      </c>
    </row>
    <row r="75" spans="2:8" ht="21.75" customHeight="true">
      <c r="B75" s="16">
        <v>46062</v>
      </c>
      <c r="C75" s="21" t="s">
        <v>25</v>
      </c>
      <c r="D75" s="21" t="s">
        <v>58</v>
      </c>
      <c r="E75" s="21">
        <v>5</v>
      </c>
      <c r="F75" s="21" t="s">
        <v>28</v>
      </c>
      <c r="G75" s="25" t="s">
        <v>220</v>
      </c>
      <c r="H75" s="21" t="s">
        <v>20</v>
      </c>
    </row>
    <row r="76" spans="2:8" ht="21.75" customHeight="true">
      <c r="B76" s="16">
        <v>46062</v>
      </c>
      <c r="C76" s="21" t="s">
        <v>8</v>
      </c>
      <c r="D76" s="21" t="s">
        <v>45</v>
      </c>
      <c r="E76" s="21">
        <v>10</v>
      </c>
      <c r="F76" s="21" t="s">
        <v>28</v>
      </c>
      <c r="G76" s="25" t="s">
        <v>221</v>
      </c>
      <c r="H76" s="21" t="s">
        <v>20</v>
      </c>
    </row>
    <row r="77" spans="2:8" ht="21.75" customHeight="true">
      <c r="B77" s="91">
        <v>46053</v>
      </c>
      <c r="C77" s="84" t="s">
        <v>39</v>
      </c>
      <c r="D77" s="84" t="s">
        <v>48</v>
      </c>
      <c r="E77" s="84">
        <v>10</v>
      </c>
      <c r="F77" s="84" t="s">
        <v>194</v>
      </c>
      <c r="G77" s="85" t="s">
        <v>222</v>
      </c>
      <c r="H77" s="84" t="s">
        <v>11</v>
      </c>
    </row>
    <row r="78" spans="2:8" ht="21.75" customHeight="true">
      <c r="B78" s="91">
        <v>46053</v>
      </c>
      <c r="C78" s="84" t="s">
        <v>8</v>
      </c>
      <c r="D78" s="84" t="s">
        <v>198</v>
      </c>
      <c r="E78" s="84">
        <v>5</v>
      </c>
      <c r="F78" s="84" t="s">
        <v>194</v>
      </c>
      <c r="G78" s="85" t="s">
        <v>222</v>
      </c>
      <c r="H78" s="84" t="s">
        <v>11</v>
      </c>
    </row>
    <row r="79" spans="2:8" ht="21.75" customHeight="true">
      <c r="B79" s="91">
        <v>46053</v>
      </c>
      <c r="C79" s="84" t="s">
        <v>8</v>
      </c>
      <c r="D79" s="84" t="s">
        <v>49</v>
      </c>
      <c r="E79" s="84">
        <v>5</v>
      </c>
      <c r="F79" s="84" t="s">
        <v>194</v>
      </c>
      <c r="G79" s="85" t="s">
        <v>222</v>
      </c>
      <c r="H79" s="84" t="s">
        <v>11</v>
      </c>
    </row>
    <row r="80" spans="1:9">
      <c r="A80" s="92" t="s"/>
      <c r="B80" s="93" t="s"/>
      <c r="C80" s="77" t="s"/>
      <c r="D80" s="77" t="s"/>
      <c r="E80" s="77" t="s"/>
      <c r="F80" s="94" t="s"/>
      <c r="G80" s="95" t="s"/>
      <c r="H80" s="77" t="s"/>
      <c r="I80" s="77" t="s"/>
    </row>
    <row r="81" spans="1:9">
      <c r="A81" s="92" t="s"/>
      <c r="B81" s="93" t="s"/>
      <c r="C81" s="77" t="s"/>
      <c r="D81" s="77" t="s"/>
      <c r="E81" s="77" t="s"/>
      <c r="F81" s="94" t="s"/>
      <c r="G81" s="95" t="s"/>
      <c r="H81" s="77" t="s"/>
      <c r="I81" s="77" t="s"/>
    </row>
    <row r="82" spans="1:9">
      <c r="A82" s="92" t="s"/>
      <c r="B82" s="93" t="s"/>
      <c r="C82" s="77" t="s"/>
      <c r="D82" s="77" t="s"/>
      <c r="E82" s="77" t="s"/>
      <c r="F82" s="94" t="s"/>
      <c r="G82" s="95" t="s"/>
      <c r="H82" s="77" t="s"/>
      <c r="I82" s="77" t="s"/>
    </row>
    <row r="83" spans="1:9">
      <c r="A83" s="92" t="s"/>
      <c r="B83" s="93" t="s"/>
      <c r="C83" s="77" t="s"/>
      <c r="D83" s="77" t="s"/>
      <c r="E83" s="77" t="s"/>
      <c r="F83" s="94" t="s"/>
      <c r="G83" s="95" t="s"/>
      <c r="H83" s="77" t="s"/>
      <c r="I83" s="77" t="s"/>
    </row>
    <row r="84" spans="1:9">
      <c r="A84" s="92" t="s"/>
      <c r="B84" s="93" t="s"/>
      <c r="C84" s="77" t="s"/>
      <c r="D84" s="77" t="s"/>
      <c r="E84" s="77" t="s"/>
      <c r="F84" s="94" t="s"/>
      <c r="G84" s="95" t="s"/>
      <c r="H84" s="77" t="s"/>
      <c r="I84" s="77" t="s"/>
    </row>
    <row r="85" spans="1:9">
      <c r="A85" s="92" t="s"/>
      <c r="B85" s="93" t="s"/>
      <c r="C85" s="77" t="s"/>
      <c r="D85" s="77" t="s"/>
      <c r="E85" s="77" t="s"/>
      <c r="F85" s="94" t="s"/>
      <c r="G85" s="95" t="s"/>
      <c r="H85" s="77" t="s"/>
      <c r="I85" s="77" t="s"/>
    </row>
    <row r="86" spans="1:9">
      <c r="A86" s="92" t="s"/>
      <c r="B86" s="93" t="s"/>
      <c r="C86" s="77" t="s"/>
      <c r="D86" s="77" t="s"/>
      <c r="E86" s="77" t="s"/>
      <c r="F86" s="94" t="s"/>
      <c r="G86" s="95" t="s"/>
      <c r="H86" s="77" t="s"/>
      <c r="I86" s="77" t="s"/>
    </row>
    <row r="87" spans="1:9">
      <c r="A87" s="92" t="s"/>
      <c r="B87" s="93" t="s"/>
      <c r="C87" s="77" t="s"/>
      <c r="D87" s="77" t="s"/>
      <c r="E87" s="77" t="s"/>
      <c r="F87" s="94" t="s"/>
      <c r="G87" s="95" t="s"/>
      <c r="H87" s="77" t="s"/>
      <c r="I87" s="77" t="s"/>
    </row>
    <row r="88" spans="1:9">
      <c r="A88" s="92" t="s"/>
      <c r="B88" s="93" t="s"/>
      <c r="C88" s="77" t="s"/>
      <c r="D88" s="77" t="s"/>
      <c r="E88" s="77" t="s"/>
      <c r="F88" s="94" t="s"/>
      <c r="G88" s="95" t="s"/>
      <c r="H88" s="77" t="s"/>
      <c r="I88" s="77" t="s"/>
    </row>
  </sheetData>
  <hyperlinks>
    <hyperlink ref="G3" r:id="rId0"/>
  </hyperlinks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2026-04-20T16:07:05Z</dcterms:created>
  <dcterms:modified xsi:type="dcterms:W3CDTF">2026-04-20T16:07:05Z</dcterms:modified>
</cp:coreProperties>
</file>